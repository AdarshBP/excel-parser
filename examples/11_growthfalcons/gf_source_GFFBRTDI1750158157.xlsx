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ayout Breakup" sheetId="2" r:id="rId2"/>
    <sheet name="Order Level" sheetId="3" r:id="rId3"/>
    <sheet name="Daywise Completed Breakup" sheetId="4" r:id="rId4"/>
    <sheet name="Glossary" sheetId="5" r:id="rId5"/>
  </sheets>
  <calcPr calcId="124519" fullCalcOnLoad="1"/>
</workbook>
</file>

<file path=xl/sharedStrings.xml><?xml version="1.0" encoding="utf-8"?>
<sst xmlns="http://schemas.openxmlformats.org/spreadsheetml/2006/main" count="523" uniqueCount="254">
  <si>
    <t>Report Summary</t>
  </si>
  <si>
    <t>Report Period</t>
  </si>
  <si>
    <t>Res id</t>
  </si>
  <si>
    <t>MID</t>
  </si>
  <si>
    <t>Legal Entity</t>
  </si>
  <si>
    <t>Res Name</t>
  </si>
  <si>
    <t>Address</t>
  </si>
  <si>
    <t>PAN</t>
  </si>
  <si>
    <t>GSTIN</t>
  </si>
  <si>
    <t>GrowthFalcons GSTIN</t>
  </si>
  <si>
    <t>Pay-out cycle</t>
  </si>
  <si>
    <t>Total Orders(Delivered + Cancelled)</t>
  </si>
  <si>
    <t>Net Pay-out(Settled)</t>
  </si>
  <si>
    <t>29-December-2025  - 04-January-2026</t>
  </si>
  <si>
    <t>GFFBRTDI1750158157</t>
  </si>
  <si>
    <t>GFF22932</t>
  </si>
  <si>
    <t>MANN HOSPITALITY LLP</t>
  </si>
  <si>
    <t>DILLI DARBAR</t>
  </si>
  <si>
    <t>166, Mann Food Court, A K Gopalan Colony Main Rd, Ambedkar Nagar, Whitefield, Bengaluru, Karnataka 560066.</t>
  </si>
  <si>
    <t>29ABNFM9601R1Z9</t>
  </si>
  <si>
    <t>29AAKFH0619N1ZZ</t>
  </si>
  <si>
    <t>Weekly(Every Wednesday)</t>
  </si>
  <si>
    <t>Report Detailed Breakdown</t>
  </si>
  <si>
    <t>This report comprises the following detailed tabs regarding your pay-out:</t>
  </si>
  <si>
    <t>Pay-out Breakup</t>
  </si>
  <si>
    <t>Breakup of your total earnings during this report period</t>
  </si>
  <si>
    <t>Order Level</t>
  </si>
  <si>
    <t>Detailed view of your order level earnings, deductions, pay-outs for orders.</t>
  </si>
  <si>
    <t>Daily breakup completed</t>
  </si>
  <si>
    <t>Detailed view of completed orders summarized for a day</t>
  </si>
  <si>
    <t>Glossary</t>
  </si>
  <si>
    <t>Descriptions of the terms used in the Order Level tab</t>
  </si>
  <si>
    <t>Payout Breakup</t>
  </si>
  <si>
    <t>S.No.</t>
  </si>
  <si>
    <t>Particular</t>
  </si>
  <si>
    <t>Delivered Orders</t>
  </si>
  <si>
    <t>Cancelled Orders</t>
  </si>
  <si>
    <t>Number of Orders</t>
  </si>
  <si>
    <t>Column1</t>
  </si>
  <si>
    <t>Column2</t>
  </si>
  <si>
    <t>Column3</t>
  </si>
  <si>
    <t>Column4</t>
  </si>
  <si>
    <t>A</t>
  </si>
  <si>
    <r>
      <rPr>
        <b/>
        <sz val="15"/>
        <color theme="1"/>
        <rFont val="Proxima Nova"/>
        <family val="2"/>
      </rPr>
      <t>Net order value</t>
    </r>
    <r>
      <rPr>
        <sz val="12"/>
        <color rgb="FF808080"/>
        <rFont val="Arial"/>
        <family val="2"/>
      </rPr>
      <t xml:space="preserve">
[ 1 + 2 + 3 + 4 - 5 - 6 + 7 + 8 + 9]</t>
    </r>
  </si>
  <si>
    <t>10</t>
  </si>
  <si>
    <r>
      <rPr>
        <b/>
        <sz val="15"/>
        <color theme="1"/>
        <rFont val="Proxima Nova"/>
        <family val="2"/>
      </rPr>
      <t xml:space="preserve">Commissionable value </t>
    </r>
    <r>
      <rPr>
        <sz val="12"/>
        <color rgb="FF808080"/>
        <rFont val="Arial"/>
        <family val="2"/>
      </rPr>
      <t xml:space="preserve">
[[ 1 + 2 + 3 + 4 - 5 - 6 + 7 + 8 + 9]]</t>
    </r>
  </si>
  <si>
    <t>B</t>
  </si>
  <si>
    <r>
      <rPr>
        <b/>
        <sz val="15"/>
        <color theme="1"/>
        <rFont val="Proxima Nova"/>
        <family val="2"/>
      </rPr>
      <t>Service fees &amp; payment mechanism fees</t>
    </r>
    <r>
      <rPr>
        <sz val="12"/>
        <color rgb="FF808080"/>
        <rFont val="Arial"/>
        <family val="2"/>
      </rPr>
      <t xml:space="preserve">
[11 + 12]</t>
    </r>
  </si>
  <si>
    <t>C</t>
  </si>
  <si>
    <r>
      <rPr>
        <b/>
        <sz val="15"/>
        <color theme="1"/>
        <rFont val="Proxima Nova"/>
        <family val="2"/>
      </rPr>
      <t>Government Charges</t>
    </r>
    <r>
      <rPr>
        <sz val="12"/>
        <color rgb="FF808080"/>
        <rFont val="Arial"/>
        <family val="2"/>
      </rPr>
      <t xml:space="preserve">
[13 + 14 + 15 + 16 ]</t>
    </r>
  </si>
  <si>
    <t>GST paid by GrowthFalcons on behalf of restaurant - under section 9(5)</t>
  </si>
  <si>
    <t>D</t>
  </si>
  <si>
    <r>
      <rPr>
        <b/>
        <sz val="15"/>
        <color theme="1"/>
        <rFont val="Proxima Nova"/>
        <family val="2"/>
      </rPr>
      <t>Other order level deductions</t>
    </r>
    <r>
      <rPr>
        <sz val="12"/>
        <color rgb="FF808080"/>
        <rFont val="Arial"/>
        <family val="2"/>
      </rPr>
      <t xml:space="preserve">
[17 +  18 + 19 + 20 + 21]</t>
    </r>
  </si>
  <si>
    <t>E</t>
  </si>
  <si>
    <r>
      <rPr>
        <b/>
        <sz val="15"/>
        <color theme="1"/>
        <rFont val="Proxima Nova"/>
        <family val="2"/>
      </rPr>
      <t>Total Additions</t>
    </r>
    <r>
      <rPr>
        <sz val="12"/>
        <color rgb="FF808080"/>
        <rFont val="Arial"/>
        <family val="2"/>
      </rPr>
      <t xml:space="preserve">
[ 22 + 23]</t>
    </r>
  </si>
  <si>
    <t>Cancellation refund for cancelled Orders</t>
  </si>
  <si>
    <t>Tip for Kitchen Staff for delivered Orders</t>
  </si>
  <si>
    <t>F</t>
  </si>
  <si>
    <r>
      <rPr>
        <b/>
        <sz val="15"/>
        <color theme="1"/>
        <rFont val="Proxima Nova"/>
        <family val="2"/>
      </rPr>
      <t>Net Payout</t>
    </r>
    <r>
      <rPr>
        <sz val="12"/>
        <color rgb="FF808080"/>
        <rFont val="Arial"/>
        <family val="2"/>
      </rPr>
      <t xml:space="preserve">
[A - B - C - D + E - A.4 - A.8 ]</t>
    </r>
  </si>
  <si>
    <t>Order level Breakup</t>
  </si>
  <si>
    <t>(1)</t>
  </si>
  <si>
    <t>(2)</t>
  </si>
  <si>
    <t>(3)</t>
  </si>
  <si>
    <t>(4)</t>
  </si>
  <si>
    <t>(5)</t>
  </si>
  <si>
    <t>(6)</t>
  </si>
  <si>
    <t>(7)</t>
  </si>
  <si>
    <t>(8)</t>
  </si>
  <si>
    <t>(9)</t>
  </si>
  <si>
    <t>(A)</t>
  </si>
  <si>
    <t>(10)</t>
  </si>
  <si>
    <t>(11)</t>
  </si>
  <si>
    <t>(12)</t>
  </si>
  <si>
    <t>(13)</t>
  </si>
  <si>
    <t>(B)</t>
  </si>
  <si>
    <t>(14)</t>
  </si>
  <si>
    <t>(15)</t>
  </si>
  <si>
    <t>(16)</t>
  </si>
  <si>
    <t>(17)</t>
  </si>
  <si>
    <t>(18)</t>
  </si>
  <si>
    <t>(19)</t>
  </si>
  <si>
    <t>(20)</t>
  </si>
  <si>
    <t>(21)</t>
  </si>
  <si>
    <t>(C)</t>
  </si>
  <si>
    <t>(22)</t>
  </si>
  <si>
    <t>(23)</t>
  </si>
  <si>
    <t>(24)</t>
  </si>
  <si>
    <t>(25)</t>
  </si>
  <si>
    <t>(26)</t>
  </si>
  <si>
    <t>(D)</t>
  </si>
  <si>
    <t>(E)</t>
  </si>
  <si>
    <t>(F)</t>
  </si>
  <si>
    <t>(G)</t>
  </si>
  <si>
    <t>Sl.No</t>
  </si>
  <si>
    <t>Order ID</t>
  </si>
  <si>
    <t>Order Date</t>
  </si>
  <si>
    <t>Restaurant Name</t>
  </si>
  <si>
    <t>Restaurant ID</t>
  </si>
  <si>
    <t>Discount Construct</t>
  </si>
  <si>
    <t>Mode of Payment</t>
  </si>
  <si>
    <t>Order Status (Delivered/ Cancelled)</t>
  </si>
  <si>
    <t>Cancellation policy(% Amount refunded back to restaurant partner)</t>
  </si>
  <si>
    <t>Cancellation/ Rejection Reason</t>
  </si>
  <si>
    <t>Cancelled/ Rejected State(Order status at the time it was cancelled/ rejected)</t>
  </si>
  <si>
    <t>Order type</t>
  </si>
  <si>
    <t>Delivery State code</t>
  </si>
  <si>
    <t>Subtotal (items total)</t>
  </si>
  <si>
    <t>Packaging charge</t>
  </si>
  <si>
    <t>Delivery charge for restaurants on self logistics</t>
  </si>
  <si>
    <t>Logistics charge</t>
  </si>
  <si>
    <t>Restaurant discount [Promo]</t>
  </si>
  <si>
    <t>Restaurant discount [Flat offs, Freebies, Gold &amp; others]</t>
  </si>
  <si>
    <t>Brand pack subscription fee</t>
  </si>
  <si>
    <t>Convenience Fee</t>
  </si>
  <si>
    <t>Total GST collected from customers</t>
  </si>
  <si>
    <r>
      <rPr>
        <b/>
        <sz val="14"/>
        <color theme="1"/>
        <rFont val="Proxima Nova"/>
        <family val="2"/>
      </rPr>
      <t xml:space="preserve">Net Order Value
</t>
    </r>
    <r>
      <rPr>
        <b/>
        <sz val="11"/>
        <color rgb="FF808080"/>
        <rFont val="Proxima Nova"/>
        <family val="2"/>
      </rPr>
      <t>[(1) + (2) + (3) + (4) - (5) - (6) + (7) + (8) + (9)]</t>
    </r>
  </si>
  <si>
    <r>
      <rPr>
        <b/>
        <sz val="14"/>
        <color theme="1"/>
        <rFont val="Proxima Nova"/>
        <family val="2"/>
      </rPr>
      <t xml:space="preserve">Commissionable value
</t>
    </r>
    <r>
      <rPr>
        <b/>
        <sz val="11"/>
        <color rgb="FF808080"/>
        <rFont val="Proxima Nova"/>
        <family val="2"/>
      </rPr>
      <t>[(1) + (2) + (3) + (4) - (5) - (6) + (7) + (8) + (9)]</t>
    </r>
  </si>
  <si>
    <t>Service fees %</t>
  </si>
  <si>
    <r>
      <rPr>
        <b/>
        <sz val="14"/>
        <color theme="1"/>
        <rFont val="Proxima Nova"/>
        <family val="2"/>
      </rPr>
      <t xml:space="preserve">Service fee
</t>
    </r>
    <r>
      <rPr>
        <b/>
        <sz val="11"/>
        <color rgb="FF808080"/>
        <rFont val="Proxima Nova"/>
        <family val="2"/>
      </rPr>
      <t>[ (10) * (11) ] + 15</t>
    </r>
  </si>
  <si>
    <r>
      <rPr>
        <b/>
        <sz val="14"/>
        <color theme="1"/>
        <rFont val="Proxima Nova"/>
        <family val="2"/>
      </rPr>
      <t xml:space="preserve">Payment mechanism fee
</t>
    </r>
    <r>
      <rPr>
        <b/>
        <sz val="11"/>
        <color rgb="FF808080"/>
        <rFont val="Proxima Nova"/>
        <family val="2"/>
      </rPr>
      <t>[(10) * (0.018500000000000003) ]</t>
    </r>
  </si>
  <si>
    <r>
      <rPr>
        <b/>
        <sz val="14"/>
        <color theme="1"/>
        <rFont val="Proxima Nova"/>
        <family val="2"/>
      </rPr>
      <t xml:space="preserve">Service fee &amp; payment mechanism fees
</t>
    </r>
    <r>
      <rPr>
        <b/>
        <sz val="11"/>
        <color rgb="FF808080"/>
        <rFont val="Proxima Nova"/>
        <family val="2"/>
      </rPr>
      <t>[(12) + (13)]</t>
    </r>
  </si>
  <si>
    <r>
      <rPr>
        <b/>
        <sz val="14"/>
        <color theme="1"/>
        <rFont val="Proxima Nova"/>
        <family val="2"/>
      </rPr>
      <t xml:space="preserve">Taxes on service &amp; payment mechanism fees ()
</t>
    </r>
    <r>
      <rPr>
        <b/>
        <sz val="11"/>
        <color rgb="FF808080"/>
        <rFont val="Proxima Nova"/>
        <family val="2"/>
      </rPr>
      <t>(B) * 18%</t>
    </r>
  </si>
  <si>
    <t>Applicable amount for TCS</t>
  </si>
  <si>
    <t>Applicable amount for 9(5)</t>
  </si>
  <si>
    <t>Tax collected at source</t>
  </si>
  <si>
    <t>TCS IGST amount</t>
  </si>
  <si>
    <t>TDS 194O amount</t>
  </si>
  <si>
    <t>GST to be paid by Restaurant partner to Govt.</t>
  </si>
  <si>
    <r>
      <rPr>
        <b/>
        <sz val="14"/>
        <color theme="1"/>
        <rFont val="Proxima Nova"/>
        <family val="2"/>
      </rPr>
      <t xml:space="preserve">Government charges
</t>
    </r>
    <r>
      <rPr>
        <b/>
        <sz val="11"/>
        <color rgb="FF808080"/>
        <rFont val="Proxima Nova"/>
        <family val="2"/>
      </rPr>
      <t>[(14) + (17) + (18) + (19) + (20)]</t>
    </r>
  </si>
  <si>
    <t>Customer Compensation/Recoupment</t>
  </si>
  <si>
    <t>Delivery Charges Recovery</t>
  </si>
  <si>
    <t>Credit note/(Debit Note) adjustment</t>
  </si>
  <si>
    <t>Promo recovery adjustment</t>
  </si>
  <si>
    <t>Extra Inventory Ads and Misc. (order level deduction)</t>
  </si>
  <si>
    <r>
      <rPr>
        <b/>
        <sz val="14"/>
        <color theme="1"/>
        <rFont val="Proxima Nova"/>
        <family val="2"/>
      </rPr>
      <t xml:space="preserve">Other order-level deductions
</t>
    </r>
    <r>
      <rPr>
        <b/>
        <sz val="11"/>
        <color rgb="FF808080"/>
        <rFont val="Proxima Nova"/>
        <family val="2"/>
      </rPr>
      <t>[(22) + (23) + (24) + (25) + (26) + (27)]</t>
    </r>
  </si>
  <si>
    <t>Net Deductions
(B) + (C) + (D) - (4) - (8)</t>
  </si>
  <si>
    <t>Net Additions (cancellation refund for cancelled orders/Tip for Kitchen Staff for delivered orders)</t>
  </si>
  <si>
    <t>Order level Payout
(A) - (E) + (F)</t>
  </si>
  <si>
    <t>Buyer App</t>
  </si>
  <si>
    <t>Settlement Status</t>
  </si>
  <si>
    <t>Settlement Date</t>
  </si>
  <si>
    <t>Bank UTR</t>
  </si>
  <si>
    <t>Delivery charge discount</t>
  </si>
  <si>
    <t>GFFWP10211766999302</t>
  </si>
  <si>
    <t>2025-12-29</t>
  </si>
  <si>
    <t>Online</t>
  </si>
  <si>
    <t>Completed</t>
  </si>
  <si>
    <t>O2</t>
  </si>
  <si>
    <t>whatsapp</t>
  </si>
  <si>
    <t>Settled</t>
  </si>
  <si>
    <t>2026-01-07</t>
  </si>
  <si>
    <t>IN42600858239862</t>
  </si>
  <si>
    <t>GFFWP99911767080804</t>
  </si>
  <si>
    <t>2025-12-30</t>
  </si>
  <si>
    <t>GFFWP16341767102579</t>
  </si>
  <si>
    <t>GFFWP05311767186589</t>
  </si>
  <si>
    <t>2025-12-31</t>
  </si>
  <si>
    <t>GFFWP66511767191397</t>
  </si>
  <si>
    <t>GFFWP83191767195560</t>
  </si>
  <si>
    <t>GFFWP95961767252653</t>
  </si>
  <si>
    <t>2026-01-01</t>
  </si>
  <si>
    <t>GFFWP99911767253872</t>
  </si>
  <si>
    <t>GFFWP83191767255717</t>
  </si>
  <si>
    <t>GFFWP27661767262822</t>
  </si>
  <si>
    <t>GFFWP99911767270262</t>
  </si>
  <si>
    <t>GFFWP00971767278075</t>
  </si>
  <si>
    <t>GFFWP37231767278476</t>
  </si>
  <si>
    <t>GFFWP06861767375341</t>
  </si>
  <si>
    <t>2026-01-02</t>
  </si>
  <si>
    <t>GFFWP10211767377368</t>
  </si>
  <si>
    <t>GFFWP80711767421317</t>
  </si>
  <si>
    <t>2026-01-03</t>
  </si>
  <si>
    <t>GFFWP90751767425207</t>
  </si>
  <si>
    <t>GFFWP64231767436106</t>
  </si>
  <si>
    <t>GFFWP27661767443844</t>
  </si>
  <si>
    <t>GFFWP80711767507062</t>
  </si>
  <si>
    <t>2026-01-04</t>
  </si>
  <si>
    <t>GFFWP76591767533412</t>
  </si>
  <si>
    <t>GFFWP31741767536120</t>
  </si>
  <si>
    <t>GFFWP25011767538418</t>
  </si>
  <si>
    <t>GFFWP60291767538622</t>
  </si>
  <si>
    <t>GFFWP83191767545412</t>
  </si>
  <si>
    <t>Daywise Breakup for Completed Orders</t>
  </si>
  <si>
    <t>Net Order Value</t>
  </si>
  <si>
    <t>Copay Amount</t>
  </si>
  <si>
    <t>Total Packaging Charge</t>
  </si>
  <si>
    <t>Total GST</t>
  </si>
  <si>
    <t>Service fee %</t>
  </si>
  <si>
    <t>Taxes on Service Fee %</t>
  </si>
  <si>
    <t>TDS</t>
  </si>
  <si>
    <t>Service Fee</t>
  </si>
  <si>
    <t>Taxes on Service Fee</t>
  </si>
  <si>
    <t>Self Delivery Charges</t>
  </si>
  <si>
    <t>Delivery Discount</t>
  </si>
  <si>
    <t>Total Payable to Merchant</t>
  </si>
  <si>
    <t>18%</t>
  </si>
  <si>
    <t>Descriptions of the terms used in the Order level tab</t>
  </si>
  <si>
    <t>S.No</t>
  </si>
  <si>
    <t>Particulars</t>
  </si>
  <si>
    <t>Definition</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</si>
  <si>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</si>
  <si>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</si>
  <si>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</si>
  <si>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Logistics Charge</t>
  </si>
  <si>
    <t>Cost charged for using delivery services from GrowthFalcons Platform</t>
  </si>
  <si>
    <t>Restaurant Discount [Promo]</t>
  </si>
  <si>
    <t>Offer or Promo discounts borne by the restaurant partner on the order</t>
  </si>
  <si>
    <t>PRO/SALT/ Freebie or any other discounts borne by the restaurant partner on the order</t>
  </si>
  <si>
    <t xml:space="preserve">Brand pack subscription fee </t>
  </si>
  <si>
    <t xml:space="preserve">Revenue generated for the restaurant through brand pack subscriptions  </t>
  </si>
  <si>
    <t>Convenience fee</t>
  </si>
  <si>
    <t>Fee charged by GrowthFalcons to customer for providing service</t>
  </si>
  <si>
    <t>Total tax amount paid by the customer on the order. It include GST on Food items, Packaging charges and delivery charges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</si>
  <si>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</si>
  <si>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</si>
  <si>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Commissionable value (excluding customer GST)</t>
  </si>
  <si>
    <t>It is amount at which GrowthFalcons commission will be applied i.e. the total of Gross sales less delivery Charge (for orders delivered by restaurant partners themselves) and taxes</t>
  </si>
  <si>
    <t>This means the amount payable by the Restaurant Partner to GrowthFalcons, being a % of commissionable value</t>
  </si>
  <si>
    <t>Service fee</t>
  </si>
  <si>
    <t>Derived value after multiplying commissionable value with base service fee %, However in case of flat fees contract like meal for one, total of individual items fixed fees will be the commission value.</t>
  </si>
  <si>
    <t>Payment Mechanism Fee</t>
  </si>
  <si>
    <t>Payment Mechanism Fee means the amount payable by the Restaurant Partner to GrowthFalcons, being a % of Order Value including taxes less any charge not levied by Restaurant but collected by GrowthFalcons, as more specifically set out in the Form</t>
  </si>
  <si>
    <t>Service fee &amp; payment mechanism fees</t>
  </si>
  <si>
    <t xml:space="preserve">This is the sum of the base service fee, fulfilment fee, and payment mechanism fee, less </t>
  </si>
  <si>
    <t xml:space="preserve">Taxes on service &amp; payment mechanism fees </t>
  </si>
  <si>
    <t>Tax charged on services provided by GrowthFalcons (such as commission, convenience fee etc)</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</si>
  <si>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</si>
  <si>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</si>
  <si>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</si>
  <si>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GrowthFalcons on items other than Restaurant Services in terms of provisions of Section 52 of the CGST Act, 2017. The said amount will be deposited to Government upon filing of TCS Return {GSTR-8} at GSTIN level.</t>
  </si>
  <si>
    <t>If TCS mentioned in section R is deducted on interstate supply, same will be updated here</t>
  </si>
  <si>
    <t>TDS 194O</t>
  </si>
  <si>
    <t>GrowthFalcons is required to deduct taxes at source from the amount for all Orders that are settled via GrowthFalcons Platform. TDS u/s 194-O shall be applied on Gross Sales (less applicable taxes charged by the Restaurant) as per the applicable tax law on the rate as applicable and amended from time to time</t>
  </si>
  <si>
    <t>Tax amount retained by GrowthFalcons for restaurant services as per Section 9(5) of Central Goods and Services Tax Act 2017, with effect from 1 January 2022. GrowthFalcons deposits this tax amount with authorities on behalf of the restaurant</t>
  </si>
  <si>
    <t>This amount is residual value of total GST collected from user and deposited by GrowthFalcons under section 9(5) of GST Act. This amount need to deposited to Govt by Restaurant partners</t>
  </si>
  <si>
    <t>Government charges</t>
  </si>
  <si>
    <t>Sum of all the taxes charged on the order as per the government guidelines</t>
  </si>
  <si>
    <t>The amount recovered/recouped against customer refunds made by GrowthFalcons, from the restaurant partners</t>
  </si>
  <si>
    <t>Delivery charges recovery</t>
  </si>
  <si>
    <t>Amount of Discount offers by merchant on the delivery fee charged by the Delivery Partner, where the Restaurant Partner is availing Logistics Services from GrowthFalcon</t>
  </si>
  <si>
    <t>Amount received in cash (on self delivery orders)</t>
  </si>
  <si>
    <t>Amount received by Restaurant partner from customer in cash on delivery order where Restaurant Partner provide logistics services</t>
  </si>
  <si>
    <t>CN/DN raised to adjust commission/convenience fee or other revenue</t>
  </si>
  <si>
    <t>Manual promo recovery to be done from restaurant partner where automated recovery were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</si>
  <si>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</si>
  <si>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</si>
  <si>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</si>
  <si>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</si>
  <si>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</si>
  <si>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needs to be deducted from Restaurant Partner's payout</t>
  </si>
  <si>
    <t>Net Additions 
(cancellation refund)</t>
  </si>
  <si>
    <t>Amount reimbursed against the rejected orders (GrowthFalcons rejections) under the compensation policy</t>
  </si>
  <si>
    <t xml:space="preserve">Order level Payout
</t>
  </si>
  <si>
    <t>Net transferable amount after all deductions</t>
  </si>
</sst>
</file>

<file path=xl/styles.xml><?xml version="1.0" encoding="utf-8"?>
<styleSheet xmlns="http://schemas.openxmlformats.org/spreadsheetml/2006/main">
  <numFmts count="1">
    <numFmt numFmtId="164" formatCode="₹#,##0.00"/>
    <numFmt numFmtId="164" formatCode="₹#,##0.00"/>
    <numFmt numFmtId="164" formatCode="₹#,##0.00"/>
  </numFmts>
  <fonts count="9">
    <font>
      <sz val="11"/>
      <color theme="1"/>
      <name val="Calibri"/>
      <family val="2"/>
      <scheme val="minor"/>
    </font>
    <font>
      <b/>
      <sz val="18"/>
      <color rgb="FFFFFFFF"/>
      <name val="Proxima Nova"/>
      <family val="2"/>
    </font>
    <font>
      <sz val="12"/>
      <color theme="1"/>
      <name val="Proxima Nova"/>
      <family val="2"/>
    </font>
    <font>
      <b/>
      <sz val="12"/>
      <color theme="1"/>
      <name val="Proxima Nova"/>
      <family val="2"/>
    </font>
    <font>
      <b/>
      <sz val="20"/>
      <color theme="1"/>
      <name val="Proxima Nova"/>
      <family val="2"/>
    </font>
    <font>
      <sz val="14"/>
      <color rgb="FF666666"/>
      <name val="Proxima Nova"/>
      <family val="2"/>
    </font>
    <font>
      <b/>
      <sz val="15"/>
      <color theme="1"/>
      <name val="Proxima Nova"/>
      <family val="2"/>
    </font>
    <font>
      <b/>
      <sz val="14"/>
      <color theme="1"/>
      <name val="Proxima Nova"/>
      <family val="2"/>
    </font>
    <font>
      <sz val="12"/>
      <color rgb="FF808080"/>
      <name val="Arial"/>
      <family val="2"/>
    </font>
  </fonts>
  <fills count="3">
    <fill>
      <patternFill patternType="none"/>
    </fill>
    <fill>
      <patternFill patternType="gray125"/>
    </fill>
    <fill>
      <patternFill patternType="solid">
        <fgColor rgb="FF0000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164" fontId="4" fillId="0" borderId="0" xfId="0" applyNumberFormat="1" applyFont="1" applyAlignment="1">
      <alignment wrapText="1"/>
    </xf>
    <xf numFmtId="0" fontId="5" fillId="0" borderId="1" xfId="0" applyFont="1" applyBorder="1"/>
    <xf numFmtId="0" fontId="0" fillId="0" borderId="1" xfId="0" applyBorder="1"/>
    <xf numFmtId="0" fontId="0" fillId="0" borderId="1" xfId="0" applyBorder="1" applyAlignment="1">
      <alignment horizontal="left" vertical="center" wrapText="1"/>
    </xf>
    <xf numFmtId="0" fontId="0" fillId="0" borderId="0" xfId="0" applyAlignment="1">
      <alignment wrapText="1"/>
    </xf>
    <xf numFmtId="0" fontId="6" fillId="0" borderId="0" xfId="0" applyFont="1" applyAlignment="1">
      <alignment horizontal="left" vertical="center"/>
    </xf>
    <xf numFmtId="0" fontId="0" fillId="0" borderId="0" xfId="0" applyAlignment="1">
      <alignment horizontal="left" vertical="center"/>
    </xf>
    <xf numFmtId="0" fontId="3" fillId="0" borderId="0" xfId="0" applyFont="1"/>
    <xf numFmtId="0" fontId="6" fillId="0" borderId="0" xfId="0" applyFont="1"/>
    <xf numFmtId="164" fontId="6" fillId="0" borderId="0" xfId="0" applyNumberFormat="1" applyFont="1"/>
    <xf numFmtId="164" fontId="2" fillId="0" borderId="0" xfId="0" applyNumberFormat="1" applyFont="1"/>
    <xf numFmtId="0" fontId="7"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8"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8</xdr:col>
      <xdr:colOff>441960</xdr:colOff>
      <xdr:row>2</xdr:row>
      <xdr:rowOff>222142</xdr:rowOff>
    </xdr:to>
    <xdr:pic>
      <xdr:nvPicPr>
        <xdr:cNvPr id="2" name="Picture 1" descr="logo.png"/>
        <xdr:cNvPicPr>
          <a:picLocks noChangeAspect="1"/>
        </xdr:cNvPicPr>
      </xdr:nvPicPr>
      <xdr:blipFill>
        <a:blip xmlns:r="http://schemas.openxmlformats.org/officeDocument/2006/relationships" r:embed="rId1"/>
        <a:stretch>
          <a:fillRect/>
        </a:stretch>
      </xdr:blipFill>
      <xdr:spPr>
        <a:xfrm>
          <a:off x="6286500" y="190500"/>
          <a:ext cx="2880360" cy="536467"/>
        </a:xfrm>
        <a:prstGeom prst="rect">
          <a:avLst/>
        </a:prstGeom>
      </xdr:spPr>
    </xdr:pic>
    <xdr:clientData/>
  </xdr:twoCellAnchor>
</xdr:wsDr>
</file>

<file path=xl/tables/table1.xml><?xml version="1.0" encoding="utf-8"?>
<table xmlns="http://schemas.openxmlformats.org/spreadsheetml/2006/main" id="1" name="MyTable" displayName="MyTable" ref="B5:E49" totalsRowShown="0">
  <autoFilter ref="B5:E49"/>
  <tableColumns count="4">
    <tableColumn id="1" name="Column1"/>
    <tableColumn id="2" name="Column2"/>
    <tableColumn id="3" name="Column3"/>
    <tableColumn id="4" name="Column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2:D27"/>
  <sheetViews>
    <sheetView showGridLines="0" tabSelected="1" workbookViewId="0"/>
  </sheetViews>
  <sheetFormatPr defaultRowHeight="15"/>
  <cols>
    <col min="1" max="1" width="2.7109375" customWidth="1"/>
    <col min="2" max="2" width="32.7109375" customWidth="1"/>
    <col min="3" max="3" width="49.7109375" customWidth="1"/>
  </cols>
  <sheetData>
    <row r="2" spans="2:3" ht="25" customHeight="1">
      <c r="B2" s="1" t="s">
        <v>0</v>
      </c>
      <c r="C2" s="1"/>
    </row>
    <row r="3" spans="2:3" ht="25" customHeight="1"/>
    <row r="4" spans="2:3" ht="25" customHeight="1">
      <c r="B4" s="2" t="s">
        <v>1</v>
      </c>
      <c r="C4" s="3" t="s">
        <v>13</v>
      </c>
    </row>
    <row r="5" spans="2:3" ht="25" customHeight="1">
      <c r="B5" s="2" t="s">
        <v>2</v>
      </c>
      <c r="C5" s="3" t="s">
        <v>14</v>
      </c>
    </row>
    <row r="6" spans="2:3" ht="25" customHeight="1">
      <c r="B6" s="2" t="s">
        <v>3</v>
      </c>
      <c r="C6" s="3" t="s">
        <v>15</v>
      </c>
    </row>
    <row r="7" spans="2:3" ht="25" customHeight="1">
      <c r="B7" s="2" t="s">
        <v>4</v>
      </c>
      <c r="C7" s="3" t="s">
        <v>16</v>
      </c>
    </row>
    <row r="8" spans="2:3" ht="25" customHeight="1">
      <c r="B8" s="2" t="s">
        <v>5</v>
      </c>
      <c r="C8" s="3" t="s">
        <v>17</v>
      </c>
    </row>
    <row r="9" spans="2:3" ht="35" customHeight="1">
      <c r="B9" s="2" t="s">
        <v>6</v>
      </c>
      <c r="C9" s="3" t="s">
        <v>18</v>
      </c>
    </row>
    <row r="10" spans="2:3" ht="25" customHeight="1">
      <c r="B10" s="2" t="s">
        <v>7</v>
      </c>
      <c r="C10" s="3"/>
    </row>
    <row r="11" spans="2:3" ht="25" customHeight="1">
      <c r="B11" s="2" t="s">
        <v>8</v>
      </c>
      <c r="C11" s="3" t="s">
        <v>19</v>
      </c>
    </row>
    <row r="12" spans="2:3" ht="25" customHeight="1">
      <c r="B12" s="2" t="s">
        <v>9</v>
      </c>
      <c r="C12" s="3" t="s">
        <v>20</v>
      </c>
    </row>
    <row r="13" spans="2:3" ht="25" customHeight="1">
      <c r="B13" s="2" t="s">
        <v>10</v>
      </c>
      <c r="C13" s="3" t="s">
        <v>21</v>
      </c>
    </row>
    <row r="14" spans="2:3" ht="25" customHeight="1">
      <c r="B14" s="2"/>
      <c r="C14" s="3"/>
    </row>
    <row r="15" spans="2:3" ht="35" customHeight="1">
      <c r="B15" s="3" t="s">
        <v>11</v>
      </c>
      <c r="C15" s="4">
        <f>('Payout Breakup'!D4 + 'Payout Breakup'!E4)</f>
        <v>0</v>
      </c>
    </row>
    <row r="16" spans="2:3" ht="35" customHeight="1">
      <c r="B16" s="3" t="s">
        <v>12</v>
      </c>
      <c r="C16" s="5">
        <f>('Payout Breakup'!D45)</f>
        <v>0</v>
      </c>
    </row>
    <row r="17" spans="2:4" ht="25" customHeight="1"/>
    <row r="22" spans="2:4">
      <c r="B22" s="1" t="s">
        <v>22</v>
      </c>
      <c r="C22" s="1"/>
      <c r="D22" s="1"/>
    </row>
    <row r="23" spans="2:4">
      <c r="B23" s="6" t="s">
        <v>23</v>
      </c>
      <c r="C23" s="6"/>
      <c r="D23" s="6"/>
    </row>
    <row r="24" spans="2:4" ht="30" customHeight="1">
      <c r="B24" s="7" t="s">
        <v>24</v>
      </c>
      <c r="C24" s="8" t="s">
        <v>25</v>
      </c>
      <c r="D24" s="8"/>
    </row>
    <row r="25" spans="2:4" ht="30" customHeight="1">
      <c r="B25" s="7" t="s">
        <v>26</v>
      </c>
      <c r="C25" s="8" t="s">
        <v>27</v>
      </c>
      <c r="D25" s="8"/>
    </row>
    <row r="26" spans="2:4" ht="30" customHeight="1">
      <c r="B26" s="7" t="s">
        <v>28</v>
      </c>
      <c r="C26" s="8" t="s">
        <v>29</v>
      </c>
      <c r="D26" s="8"/>
    </row>
    <row r="27" spans="2:4" ht="30" customHeight="1">
      <c r="B27" s="7" t="s">
        <v>30</v>
      </c>
      <c r="C27" s="8" t="s">
        <v>31</v>
      </c>
      <c r="D27" s="8"/>
    </row>
  </sheetData>
  <mergeCells count="7">
    <mergeCell ref="B2:C2"/>
    <mergeCell ref="B22:D22"/>
    <mergeCell ref="B23:D23"/>
    <mergeCell ref="C24:D24"/>
    <mergeCell ref="C25:D25"/>
    <mergeCell ref="C26:D26"/>
    <mergeCell ref="C27:D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2:E45"/>
  <sheetViews>
    <sheetView workbookViewId="0"/>
  </sheetViews>
  <sheetFormatPr defaultRowHeight="15"/>
  <cols>
    <col min="2" max="2" width="7.7109375" customWidth="1"/>
    <col min="3" max="3" width="58.7109375" style="9" customWidth="1"/>
    <col min="4" max="5" width="25.7109375" customWidth="1"/>
  </cols>
  <sheetData>
    <row r="2" spans="2:5">
      <c r="B2" s="1" t="s">
        <v>32</v>
      </c>
      <c r="C2" s="1"/>
      <c r="D2" s="1"/>
      <c r="E2" s="1"/>
    </row>
    <row r="3" spans="2:5" ht="30" customHeight="1">
      <c r="B3" s="10" t="s">
        <v>33</v>
      </c>
      <c r="C3" s="10" t="s">
        <v>34</v>
      </c>
      <c r="D3" s="10" t="s">
        <v>35</v>
      </c>
      <c r="E3" s="10" t="s">
        <v>36</v>
      </c>
    </row>
    <row r="4" spans="2:5" s="11" customFormat="1" ht="30" customHeight="1">
      <c r="C4" s="12" t="s">
        <v>37</v>
      </c>
      <c r="D4" s="12">
        <f>IFERROR(COUNTIF('Order Level'!H:H,"Completed"),0)</f>
        <v>0</v>
      </c>
      <c r="E4" s="12">
        <f>IFERROR(COUNTIF('Order Level'!H:H,"Cancelled"),0)</f>
        <v>0</v>
      </c>
    </row>
    <row r="5" spans="2:5" hidden="1">
      <c r="B5" t="s">
        <v>38</v>
      </c>
      <c r="C5" s="9" t="s">
        <v>39</v>
      </c>
      <c r="D5" t="s">
        <v>40</v>
      </c>
      <c r="E5" t="s">
        <v>41</v>
      </c>
    </row>
    <row r="6" spans="2:5">
      <c r="B6" s="13" t="s">
        <v>42</v>
      </c>
      <c r="C6" s="9" t="s">
        <v>43</v>
      </c>
      <c r="D6" s="14">
        <f>D7+D8+D9+D10-D11-D12+D13+D14+D15</f>
        <v>0</v>
      </c>
      <c r="E6" s="15">
        <v>0</v>
      </c>
    </row>
    <row r="7" spans="2:5">
      <c r="B7" s="11">
        <v>1</v>
      </c>
      <c r="C7" s="9">
        <f>'Order Level'!N3</f>
        <v>0</v>
      </c>
      <c r="D7" s="15">
        <f>IFERROR(SUMIFS('Order Level'!$N:$N, 'Order Level'!$H:$H, "Completed"),0)</f>
        <v>0</v>
      </c>
      <c r="E7" s="15">
        <v>0</v>
      </c>
    </row>
    <row r="8" spans="2:5">
      <c r="B8" s="11">
        <v>2</v>
      </c>
      <c r="C8" s="9">
        <f>'Order Level'!O3</f>
        <v>0</v>
      </c>
      <c r="D8" s="15">
        <f>IFERROR(SUMIFS('Order Level'!$O:$O, 'Order Level'!$H:$H, "Completed"),0)</f>
        <v>0</v>
      </c>
      <c r="E8" s="15">
        <v>0</v>
      </c>
    </row>
    <row r="9" spans="2:5">
      <c r="B9" s="11">
        <v>3</v>
      </c>
      <c r="C9" s="9">
        <f>'Order Level'!P3</f>
        <v>0</v>
      </c>
      <c r="D9" s="15">
        <f>IFERROR(SUMIFS('Order Level'!$P:$P, 'Order Level'!$H:$H, "Completed"),0)</f>
        <v>0</v>
      </c>
      <c r="E9" s="15">
        <v>0</v>
      </c>
    </row>
    <row r="10" spans="2:5">
      <c r="B10" s="11">
        <v>4</v>
      </c>
      <c r="C10" s="9">
        <f>'Order Level'!Q3</f>
        <v>0</v>
      </c>
      <c r="D10" s="15">
        <f>IFERROR(SUMIFS('Order Level'!$Q:$Q, 'Order Level'!$H:$H, "Completed"),0)</f>
        <v>0</v>
      </c>
      <c r="E10" s="15">
        <v>0</v>
      </c>
    </row>
    <row r="11" spans="2:5">
      <c r="B11" s="11">
        <v>5</v>
      </c>
      <c r="C11" s="9">
        <f>'Order Level'!R3</f>
        <v>0</v>
      </c>
      <c r="D11" s="15">
        <f>IFERROR(SUMIFS('Order Level'!$R:$R, 'Order Level'!$H:$H, "Completed"),0)</f>
        <v>0</v>
      </c>
      <c r="E11" s="15">
        <v>0</v>
      </c>
    </row>
    <row r="12" spans="2:5">
      <c r="B12" s="11">
        <v>6</v>
      </c>
      <c r="C12" s="9">
        <f>'Order Level'!S3</f>
        <v>0</v>
      </c>
      <c r="D12" s="15">
        <f>IFERROR(SUMIFS('Order Level'!$S:$S, 'Order Level'!$H:$H, "Completed"),0)</f>
        <v>0</v>
      </c>
      <c r="E12" s="15">
        <v>0</v>
      </c>
    </row>
    <row r="13" spans="2:5">
      <c r="B13" s="11">
        <v>7</v>
      </c>
      <c r="C13" s="9">
        <f>'Order Level'!T3</f>
        <v>0</v>
      </c>
      <c r="D13" s="15">
        <f>IFERROR(SUMIFS('Order Level'!$T:$T, 'Order Level'!$H:$H, "Completed"),0)</f>
        <v>0</v>
      </c>
      <c r="E13" s="15">
        <v>0</v>
      </c>
    </row>
    <row r="14" spans="2:5">
      <c r="B14" s="11">
        <v>8</v>
      </c>
      <c r="C14" s="9">
        <f>'Order Level'!U3</f>
        <v>0</v>
      </c>
      <c r="D14" s="15">
        <f>IFERROR(SUMIFS('Order Level'!$U:$U, 'Order Level'!$H:$H, "Completed"),0)</f>
        <v>0</v>
      </c>
      <c r="E14" s="15">
        <v>0</v>
      </c>
    </row>
    <row r="15" spans="2:5">
      <c r="B15" s="11">
        <v>9</v>
      </c>
      <c r="C15" s="9">
        <f>'Order Level'!V3</f>
        <v>0</v>
      </c>
      <c r="D15" s="15">
        <f>IFERROR(SUMIFS('Order Level'!$V:$V, 'Order Level'!$H:$H, "Completed"),0)</f>
        <v>0</v>
      </c>
      <c r="E15" s="15">
        <v>0</v>
      </c>
    </row>
    <row r="18" spans="2:5" ht="40" customHeight="1">
      <c r="B18" s="13" t="s">
        <v>44</v>
      </c>
      <c r="C18" s="9" t="s">
        <v>45</v>
      </c>
      <c r="D18" s="14">
        <f>SUM(D7:D15)</f>
        <v>0</v>
      </c>
      <c r="E18" s="14">
        <v>0</v>
      </c>
    </row>
    <row r="20" spans="2:5">
      <c r="B20" s="13" t="s">
        <v>46</v>
      </c>
      <c r="C20" s="9" t="s">
        <v>47</v>
      </c>
      <c r="D20" s="14">
        <f>SUM(D21:D23)</f>
        <v>0</v>
      </c>
      <c r="E20" s="14">
        <v>0</v>
      </c>
    </row>
    <row r="21" spans="2:5">
      <c r="B21" s="11">
        <v>11</v>
      </c>
      <c r="C21" s="9">
        <f>LEFT('Order Level'!Z3, FIND("[", 'Order Level'!Z3) - 2)</f>
        <v>0</v>
      </c>
      <c r="D21" s="15">
        <f>IFERROR(SUM('Order Level'!$Z:$Z),0)</f>
        <v>0</v>
      </c>
      <c r="E21" s="15">
        <v>0</v>
      </c>
    </row>
    <row r="22" spans="2:5">
      <c r="B22" s="11">
        <v>12</v>
      </c>
      <c r="C22" s="9">
        <f>LEFT('Order Level'!AA3, FIND("[", 'Order Level'!AA3) - 2)</f>
        <v>0</v>
      </c>
      <c r="D22" s="15">
        <f>IFERROR(SUM('Order Level'!$AA:$AA),0)</f>
        <v>0</v>
      </c>
      <c r="E22" s="15">
        <v>0</v>
      </c>
    </row>
    <row r="25" spans="2:5">
      <c r="B25" s="13" t="s">
        <v>48</v>
      </c>
      <c r="C25" s="9" t="s">
        <v>49</v>
      </c>
      <c r="D25" s="14">
        <f>SUM(D26:D29)</f>
        <v>0</v>
      </c>
      <c r="E25" s="14">
        <v>0</v>
      </c>
    </row>
    <row r="26" spans="2:5">
      <c r="B26" s="11">
        <v>13</v>
      </c>
      <c r="C26" s="9">
        <f>LEFT('Order Level'!AC3, FIND("(", 'Order Level'!AC3) - 2)</f>
        <v>0</v>
      </c>
      <c r="D26" s="15">
        <f>IFERROR(SUM('Order Level'!$AC:$AC), 0)</f>
        <v>0</v>
      </c>
      <c r="E26" s="15">
        <v>0</v>
      </c>
    </row>
    <row r="27" spans="2:5">
      <c r="B27" s="11">
        <v>14</v>
      </c>
      <c r="C27" s="9">
        <f>('Order Level'!AF3 &amp; " + " &amp; 'Order Level'!AG3)</f>
        <v>0</v>
      </c>
      <c r="D27" s="15">
        <f>IFERROR(SUMIFS('Order Level'!$AF:$AF,'Order Level'!$H:$H,"Completed") + SUMIFS('Order Level'!$AG:$AG,'Order Level'!$H:$H,"Completed"), 0)</f>
        <v>0</v>
      </c>
      <c r="E27" s="15">
        <v>0</v>
      </c>
    </row>
    <row r="28" spans="2:5">
      <c r="B28" s="11">
        <v>15</v>
      </c>
      <c r="C28" s="9">
        <f>'Order Level'!AH3</f>
        <v>0</v>
      </c>
      <c r="D28" s="15">
        <f>IFERROR(SUM('Order Level'!$AH:$AH), 0)</f>
        <v>0</v>
      </c>
      <c r="E28" s="15">
        <v>0</v>
      </c>
    </row>
    <row r="29" spans="2:5">
      <c r="B29" s="11">
        <v>16</v>
      </c>
      <c r="C29" s="9" t="s">
        <v>50</v>
      </c>
      <c r="D29" s="15">
        <f>IFERROR(SUMIFS('Order Level'!$AI:$AI,'Order Level'!$H:$H,"Completed"), 0)</f>
        <v>0</v>
      </c>
      <c r="E29" s="15">
        <v>0</v>
      </c>
    </row>
    <row r="32" spans="2:5">
      <c r="B32" s="13" t="s">
        <v>51</v>
      </c>
      <c r="C32" s="9" t="s">
        <v>52</v>
      </c>
      <c r="D32" s="14">
        <f>SUM(D33:D37)</f>
        <v>0</v>
      </c>
      <c r="E32" s="14">
        <v>0</v>
      </c>
    </row>
    <row r="33" spans="2:5">
      <c r="B33" s="11">
        <v>17</v>
      </c>
      <c r="C33" s="9">
        <f>'Order Level'!AL3</f>
        <v>0</v>
      </c>
      <c r="D33" s="15">
        <f>IFERROR(SUMIFS('Order Level'!$AL:$AL, 'Order Level'!$H:$H, "Completed"),0)</f>
        <v>0</v>
      </c>
      <c r="E33" s="15">
        <v>0</v>
      </c>
    </row>
    <row r="34" spans="2:5">
      <c r="B34" s="11">
        <v>18</v>
      </c>
      <c r="C34" s="9">
        <f>'Order Level'!AM3</f>
        <v>0</v>
      </c>
      <c r="D34" s="15">
        <f>IFERROR(SUMIFS('Order Level'!$AM:$AM, 'Order Level'!$H:$H, "Completed"),0)</f>
        <v>0</v>
      </c>
      <c r="E34" s="15">
        <v>0</v>
      </c>
    </row>
    <row r="35" spans="2:5">
      <c r="B35" s="11">
        <v>19</v>
      </c>
      <c r="C35" s="9">
        <f>'Order Level'!AN3</f>
        <v>0</v>
      </c>
      <c r="D35" s="15">
        <f>IFERROR(SUMIFS('Order Level'!$AN:$AN, 'Order Level'!$H:$H, "Completed"),0)</f>
        <v>0</v>
      </c>
      <c r="E35" s="15">
        <v>0</v>
      </c>
    </row>
    <row r="36" spans="2:5">
      <c r="B36" s="11">
        <v>20</v>
      </c>
      <c r="C36" s="9">
        <f>'Order Level'!AO3</f>
        <v>0</v>
      </c>
      <c r="D36" s="15">
        <f>IFERROR(SUMIFS('Order Level'!$AO:$AO, 'Order Level'!$H:$H, "Completed"),0)</f>
        <v>0</v>
      </c>
      <c r="E36" s="15">
        <v>0</v>
      </c>
    </row>
    <row r="37" spans="2:5">
      <c r="B37" s="11">
        <v>21</v>
      </c>
      <c r="C37" s="9">
        <f>'Order Level'!AP3</f>
        <v>0</v>
      </c>
      <c r="D37" s="15">
        <f>IFERROR(SUMIFS('Order Level'!$AP:$AP, 'Order Level'!$H:$H, "Completed"),0)</f>
        <v>0</v>
      </c>
      <c r="E37" s="15">
        <v>0</v>
      </c>
    </row>
    <row r="40" spans="2:5">
      <c r="B40" s="13" t="s">
        <v>53</v>
      </c>
      <c r="C40" s="9" t="s">
        <v>54</v>
      </c>
      <c r="D40" s="14">
        <f>SUM(D41:D42)</f>
        <v>0</v>
      </c>
      <c r="E40" s="14">
        <v>0</v>
      </c>
    </row>
    <row r="41" spans="2:5">
      <c r="B41" s="11">
        <v>22</v>
      </c>
      <c r="C41" s="9" t="s">
        <v>55</v>
      </c>
      <c r="D41" s="15">
        <f>IFERROR(SUMIFS('Order Level'!$AS:$AS,'Order Level'!$H:$H,"Cancelled"), 0)</f>
        <v>0</v>
      </c>
      <c r="E41" s="15">
        <v>0</v>
      </c>
    </row>
    <row r="42" spans="2:5">
      <c r="B42" s="11">
        <v>23</v>
      </c>
      <c r="C42" s="9" t="s">
        <v>56</v>
      </c>
      <c r="D42" s="15">
        <v>0</v>
      </c>
      <c r="E42" s="15">
        <v>0</v>
      </c>
    </row>
    <row r="45" spans="2:5">
      <c r="B45" s="13" t="s">
        <v>57</v>
      </c>
      <c r="C45" s="9" t="s">
        <v>58</v>
      </c>
      <c r="D45" s="14">
        <f>ROUNDDOWN(D6-D20-D25-D32+D40-D10,0)</f>
        <v>0</v>
      </c>
      <c r="E45" s="14">
        <v>0</v>
      </c>
    </row>
  </sheetData>
  <mergeCells count="1">
    <mergeCell ref="B2: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AZ28"/>
  <sheetViews>
    <sheetView workbookViewId="0"/>
  </sheetViews>
  <sheetFormatPr defaultRowHeight="15"/>
  <cols>
    <col min="1" max="47" width="25.7109375" customWidth="1"/>
  </cols>
  <sheetData>
    <row r="1" spans="1:52">
      <c r="A1" s="1" t="s">
        <v>59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N2" t="s">
        <v>60</v>
      </c>
      <c r="O2" t="s">
        <v>61</v>
      </c>
      <c r="P2" t="s">
        <v>62</v>
      </c>
      <c r="Q2" t="s">
        <v>63</v>
      </c>
      <c r="R2" t="s">
        <v>64</v>
      </c>
      <c r="S2" t="s">
        <v>65</v>
      </c>
      <c r="T2" t="s">
        <v>66</v>
      </c>
      <c r="U2" t="s">
        <v>67</v>
      </c>
      <c r="V2" t="s">
        <v>68</v>
      </c>
      <c r="W2" t="s">
        <v>69</v>
      </c>
      <c r="X2" t="s">
        <v>70</v>
      </c>
      <c r="Y2" t="s">
        <v>71</v>
      </c>
      <c r="Z2" t="s">
        <v>72</v>
      </c>
      <c r="AA2" t="s">
        <v>73</v>
      </c>
      <c r="AB2" t="s">
        <v>74</v>
      </c>
      <c r="AC2" t="s">
        <v>75</v>
      </c>
      <c r="AD2" t="s">
        <v>76</v>
      </c>
      <c r="AE2" t="s">
        <v>77</v>
      </c>
      <c r="AF2" t="s">
        <v>78</v>
      </c>
      <c r="AG2" t="s">
        <v>79</v>
      </c>
      <c r="AH2" t="s">
        <v>80</v>
      </c>
      <c r="AI2" t="s">
        <v>81</v>
      </c>
      <c r="AJ2" t="s">
        <v>82</v>
      </c>
      <c r="AK2" t="s">
        <v>83</v>
      </c>
      <c r="AL2" t="s">
        <v>84</v>
      </c>
      <c r="AM2" t="s">
        <v>85</v>
      </c>
      <c r="AN2" t="s">
        <v>86</v>
      </c>
      <c r="AO2" t="s">
        <v>87</v>
      </c>
      <c r="AP2" t="s">
        <v>88</v>
      </c>
      <c r="AQ2" t="s">
        <v>89</v>
      </c>
      <c r="AR2" t="s">
        <v>90</v>
      </c>
      <c r="AS2" t="s">
        <v>91</v>
      </c>
      <c r="AT2" t="s">
        <v>92</v>
      </c>
    </row>
    <row r="3" spans="1:52" ht="126" customHeight="1">
      <c r="A3" s="16" t="s">
        <v>93</v>
      </c>
      <c r="B3" s="16" t="s">
        <v>94</v>
      </c>
      <c r="C3" s="16" t="s">
        <v>95</v>
      </c>
      <c r="D3" s="16" t="s">
        <v>96</v>
      </c>
      <c r="E3" s="16" t="s">
        <v>97</v>
      </c>
      <c r="F3" s="16" t="s">
        <v>98</v>
      </c>
      <c r="G3" s="16" t="s">
        <v>99</v>
      </c>
      <c r="H3" s="16" t="s">
        <v>100</v>
      </c>
      <c r="I3" s="16" t="s">
        <v>101</v>
      </c>
      <c r="J3" s="16" t="s">
        <v>102</v>
      </c>
      <c r="K3" s="16" t="s">
        <v>103</v>
      </c>
      <c r="L3" s="16" t="s">
        <v>104</v>
      </c>
      <c r="M3" s="16" t="s">
        <v>105</v>
      </c>
      <c r="N3" s="16" t="s">
        <v>106</v>
      </c>
      <c r="O3" s="16" t="s">
        <v>107</v>
      </c>
      <c r="P3" s="16" t="s">
        <v>108</v>
      </c>
      <c r="Q3" s="16" t="s">
        <v>109</v>
      </c>
      <c r="R3" s="16" t="s">
        <v>110</v>
      </c>
      <c r="S3" s="16" t="s">
        <v>111</v>
      </c>
      <c r="T3" s="16" t="s">
        <v>112</v>
      </c>
      <c r="U3" s="16" t="s">
        <v>113</v>
      </c>
      <c r="V3" s="16" t="s">
        <v>114</v>
      </c>
      <c r="W3" s="17" t="s">
        <v>115</v>
      </c>
      <c r="X3" s="17" t="s">
        <v>116</v>
      </c>
      <c r="Y3" s="16" t="s">
        <v>117</v>
      </c>
      <c r="Z3" s="17" t="s">
        <v>118</v>
      </c>
      <c r="AA3" s="17" t="s">
        <v>119</v>
      </c>
      <c r="AB3" s="17" t="s">
        <v>120</v>
      </c>
      <c r="AC3" s="17" t="s">
        <v>121</v>
      </c>
      <c r="AD3" s="16" t="s">
        <v>122</v>
      </c>
      <c r="AE3" s="16" t="s">
        <v>123</v>
      </c>
      <c r="AF3" s="16" t="s">
        <v>124</v>
      </c>
      <c r="AG3" s="16" t="s">
        <v>125</v>
      </c>
      <c r="AH3" s="16" t="s">
        <v>126</v>
      </c>
      <c r="AI3" s="16" t="s">
        <v>50</v>
      </c>
      <c r="AJ3" s="16" t="s">
        <v>127</v>
      </c>
      <c r="AK3" s="17" t="s">
        <v>128</v>
      </c>
      <c r="AL3" s="16" t="s">
        <v>129</v>
      </c>
      <c r="AM3" s="16" t="s">
        <v>130</v>
      </c>
      <c r="AN3" s="16" t="s">
        <v>131</v>
      </c>
      <c r="AO3" s="16" t="s">
        <v>132</v>
      </c>
      <c r="AP3" s="16" t="s">
        <v>133</v>
      </c>
      <c r="AQ3" s="17" t="s">
        <v>134</v>
      </c>
      <c r="AR3" s="16" t="s">
        <v>135</v>
      </c>
      <c r="AS3" s="16" t="s">
        <v>136</v>
      </c>
      <c r="AT3" s="16" t="s">
        <v>137</v>
      </c>
      <c r="AU3" s="16" t="s">
        <v>138</v>
      </c>
      <c r="AV3" s="16" t="s">
        <v>139</v>
      </c>
      <c r="AW3" s="16" t="s">
        <v>140</v>
      </c>
      <c r="AX3" s="16" t="s">
        <v>141</v>
      </c>
      <c r="AY3" s="16" t="s">
        <v>142</v>
      </c>
    </row>
    <row r="4" spans="1:52">
      <c r="A4">
        <v>1</v>
      </c>
      <c r="B4" t="s">
        <v>143</v>
      </c>
      <c r="C4" t="s">
        <v>144</v>
      </c>
      <c r="D4" t="s">
        <v>17</v>
      </c>
      <c r="E4" t="s">
        <v>14</v>
      </c>
      <c r="G4" t="s">
        <v>145</v>
      </c>
      <c r="H4" t="s">
        <v>146</v>
      </c>
      <c r="L4" t="s">
        <v>147</v>
      </c>
      <c r="N4">
        <v>238</v>
      </c>
      <c r="O4">
        <v>0</v>
      </c>
      <c r="P4">
        <v>0</v>
      </c>
      <c r="Q4">
        <v>27</v>
      </c>
      <c r="T4">
        <v>0</v>
      </c>
      <c r="U4">
        <v>0</v>
      </c>
      <c r="V4">
        <v>11.9</v>
      </c>
      <c r="W4">
        <v>276.9</v>
      </c>
      <c r="X4">
        <v>276.9</v>
      </c>
      <c r="Y4">
        <v>0</v>
      </c>
      <c r="Z4">
        <v>15</v>
      </c>
      <c r="AA4">
        <v>5.12265</v>
      </c>
      <c r="AB4">
        <v>20.12265</v>
      </c>
      <c r="AC4">
        <v>3.62</v>
      </c>
      <c r="AD4">
        <v>0</v>
      </c>
      <c r="AE4">
        <v>0</v>
      </c>
      <c r="AF4">
        <v>0</v>
      </c>
      <c r="AG4">
        <v>0</v>
      </c>
      <c r="AH4">
        <v>0.238</v>
      </c>
      <c r="AI4">
        <v>11.9</v>
      </c>
      <c r="AJ4">
        <v>0</v>
      </c>
      <c r="AK4">
        <v>15.758</v>
      </c>
      <c r="AL4">
        <v>0</v>
      </c>
      <c r="AM4">
        <v>55</v>
      </c>
      <c r="AN4">
        <v>0</v>
      </c>
      <c r="AO4">
        <v>0</v>
      </c>
      <c r="AP4">
        <v>0</v>
      </c>
      <c r="AQ4">
        <v>55</v>
      </c>
      <c r="AR4">
        <v>117.88065</v>
      </c>
      <c r="AS4">
        <v>0</v>
      </c>
      <c r="AT4">
        <v>159.02</v>
      </c>
      <c r="AU4" t="s">
        <v>148</v>
      </c>
      <c r="AV4" t="s">
        <v>149</v>
      </c>
      <c r="AW4" t="s">
        <v>150</v>
      </c>
      <c r="AX4" t="s">
        <v>151</v>
      </c>
      <c r="AY4">
        <v>55</v>
      </c>
    </row>
    <row r="5" spans="1:52">
      <c r="A5">
        <v>2</v>
      </c>
      <c r="B5" t="s">
        <v>152</v>
      </c>
      <c r="C5" t="s">
        <v>153</v>
      </c>
      <c r="D5" t="s">
        <v>17</v>
      </c>
      <c r="E5" t="s">
        <v>14</v>
      </c>
      <c r="G5" t="s">
        <v>145</v>
      </c>
      <c r="H5" t="s">
        <v>146</v>
      </c>
      <c r="L5" t="s">
        <v>147</v>
      </c>
      <c r="N5">
        <v>169</v>
      </c>
      <c r="O5">
        <v>0</v>
      </c>
      <c r="P5">
        <v>0</v>
      </c>
      <c r="Q5">
        <v>14</v>
      </c>
      <c r="T5">
        <v>0</v>
      </c>
      <c r="U5">
        <v>0</v>
      </c>
      <c r="V5">
        <v>8.460000000000001</v>
      </c>
      <c r="W5">
        <v>191.46</v>
      </c>
      <c r="X5">
        <v>191.46</v>
      </c>
      <c r="Y5">
        <v>0</v>
      </c>
      <c r="Z5">
        <v>15</v>
      </c>
      <c r="AA5">
        <v>3.542010000000001</v>
      </c>
      <c r="AB5">
        <v>18.54201</v>
      </c>
      <c r="AC5">
        <v>3.34</v>
      </c>
      <c r="AD5">
        <v>0</v>
      </c>
      <c r="AE5">
        <v>0</v>
      </c>
      <c r="AF5">
        <v>0</v>
      </c>
      <c r="AG5">
        <v>0</v>
      </c>
      <c r="AH5">
        <v>0.169</v>
      </c>
      <c r="AI5">
        <v>8.460000000000001</v>
      </c>
      <c r="AJ5">
        <v>0</v>
      </c>
      <c r="AK5">
        <v>11.969</v>
      </c>
      <c r="AL5">
        <v>0</v>
      </c>
      <c r="AM5">
        <v>55</v>
      </c>
      <c r="AN5">
        <v>0</v>
      </c>
      <c r="AO5">
        <v>0</v>
      </c>
      <c r="AP5">
        <v>0</v>
      </c>
      <c r="AQ5">
        <v>55</v>
      </c>
      <c r="AR5">
        <v>99.51101</v>
      </c>
      <c r="AS5">
        <v>0</v>
      </c>
      <c r="AT5">
        <v>91.95</v>
      </c>
      <c r="AU5" t="s">
        <v>148</v>
      </c>
      <c r="AV5" t="s">
        <v>149</v>
      </c>
      <c r="AW5" t="s">
        <v>150</v>
      </c>
      <c r="AX5" t="s">
        <v>151</v>
      </c>
      <c r="AY5">
        <v>55</v>
      </c>
    </row>
    <row r="6" spans="1:52">
      <c r="A6">
        <v>3</v>
      </c>
      <c r="B6" t="s">
        <v>154</v>
      </c>
      <c r="C6" t="s">
        <v>153</v>
      </c>
      <c r="D6" t="s">
        <v>17</v>
      </c>
      <c r="E6" t="s">
        <v>14</v>
      </c>
      <c r="G6" t="s">
        <v>145</v>
      </c>
      <c r="H6" t="s">
        <v>146</v>
      </c>
      <c r="L6" t="s">
        <v>147</v>
      </c>
      <c r="N6">
        <v>174</v>
      </c>
      <c r="O6">
        <v>0</v>
      </c>
      <c r="P6">
        <v>0</v>
      </c>
      <c r="Q6">
        <v>14</v>
      </c>
      <c r="T6">
        <v>0</v>
      </c>
      <c r="U6">
        <v>0</v>
      </c>
      <c r="V6">
        <v>8.699999999999999</v>
      </c>
      <c r="W6">
        <v>196.7</v>
      </c>
      <c r="X6">
        <v>196.7</v>
      </c>
      <c r="Y6">
        <v>0</v>
      </c>
      <c r="Z6">
        <v>15</v>
      </c>
      <c r="AA6">
        <v>3.63895</v>
      </c>
      <c r="AB6">
        <v>18.63895</v>
      </c>
      <c r="AC6">
        <v>3.36</v>
      </c>
      <c r="AD6">
        <v>0</v>
      </c>
      <c r="AE6">
        <v>0</v>
      </c>
      <c r="AF6">
        <v>0</v>
      </c>
      <c r="AG6">
        <v>0</v>
      </c>
      <c r="AH6">
        <v>0.174</v>
      </c>
      <c r="AI6">
        <v>8.699999999999999</v>
      </c>
      <c r="AJ6">
        <v>0</v>
      </c>
      <c r="AK6">
        <v>12.234</v>
      </c>
      <c r="AL6">
        <v>0</v>
      </c>
      <c r="AM6">
        <v>55</v>
      </c>
      <c r="AN6">
        <v>0</v>
      </c>
      <c r="AO6">
        <v>0</v>
      </c>
      <c r="AP6">
        <v>0</v>
      </c>
      <c r="AQ6">
        <v>55</v>
      </c>
      <c r="AR6">
        <v>99.87295</v>
      </c>
      <c r="AS6">
        <v>0</v>
      </c>
      <c r="AT6">
        <v>96.83</v>
      </c>
      <c r="AU6" t="s">
        <v>148</v>
      </c>
      <c r="AV6" t="s">
        <v>149</v>
      </c>
      <c r="AW6" t="s">
        <v>150</v>
      </c>
      <c r="AX6" t="s">
        <v>151</v>
      </c>
      <c r="AY6">
        <v>55</v>
      </c>
    </row>
    <row r="7" spans="1:52">
      <c r="A7">
        <v>4</v>
      </c>
      <c r="B7" t="s">
        <v>155</v>
      </c>
      <c r="C7" t="s">
        <v>156</v>
      </c>
      <c r="D7" t="s">
        <v>17</v>
      </c>
      <c r="E7" t="s">
        <v>14</v>
      </c>
      <c r="G7" t="s">
        <v>145</v>
      </c>
      <c r="H7" t="s">
        <v>146</v>
      </c>
      <c r="L7" t="s">
        <v>147</v>
      </c>
      <c r="N7">
        <v>338</v>
      </c>
      <c r="O7">
        <v>0</v>
      </c>
      <c r="P7">
        <v>0</v>
      </c>
      <c r="Q7">
        <v>34</v>
      </c>
      <c r="T7">
        <v>0</v>
      </c>
      <c r="U7">
        <v>0</v>
      </c>
      <c r="V7">
        <v>16.9</v>
      </c>
      <c r="W7">
        <v>388.9</v>
      </c>
      <c r="X7">
        <v>388.9</v>
      </c>
      <c r="Y7">
        <v>0</v>
      </c>
      <c r="Z7">
        <v>15</v>
      </c>
      <c r="AA7">
        <v>7.19465</v>
      </c>
      <c r="AB7">
        <v>22.19465</v>
      </c>
      <c r="AC7">
        <v>4</v>
      </c>
      <c r="AD7">
        <v>0</v>
      </c>
      <c r="AE7">
        <v>0</v>
      </c>
      <c r="AF7">
        <v>0</v>
      </c>
      <c r="AG7">
        <v>0</v>
      </c>
      <c r="AH7">
        <v>0.338</v>
      </c>
      <c r="AI7">
        <v>16.9</v>
      </c>
      <c r="AJ7">
        <v>0</v>
      </c>
      <c r="AK7">
        <v>21.238</v>
      </c>
      <c r="AL7">
        <v>0</v>
      </c>
      <c r="AM7">
        <v>55</v>
      </c>
      <c r="AN7">
        <v>0</v>
      </c>
      <c r="AO7">
        <v>0</v>
      </c>
      <c r="AP7">
        <v>0</v>
      </c>
      <c r="AQ7">
        <v>55</v>
      </c>
      <c r="AR7">
        <v>132.43265</v>
      </c>
      <c r="AS7">
        <v>0</v>
      </c>
      <c r="AT7">
        <v>256.47</v>
      </c>
      <c r="AU7" t="s">
        <v>148</v>
      </c>
      <c r="AV7" t="s">
        <v>149</v>
      </c>
      <c r="AW7" t="s">
        <v>150</v>
      </c>
      <c r="AX7" t="s">
        <v>151</v>
      </c>
      <c r="AY7">
        <v>55</v>
      </c>
    </row>
    <row r="8" spans="1:52">
      <c r="A8">
        <v>5</v>
      </c>
      <c r="B8" t="s">
        <v>157</v>
      </c>
      <c r="C8" t="s">
        <v>156</v>
      </c>
      <c r="D8" t="s">
        <v>17</v>
      </c>
      <c r="E8" t="s">
        <v>14</v>
      </c>
      <c r="G8" t="s">
        <v>145</v>
      </c>
      <c r="H8" t="s">
        <v>146</v>
      </c>
      <c r="L8" t="s">
        <v>147</v>
      </c>
      <c r="N8">
        <v>371</v>
      </c>
      <c r="O8">
        <v>0</v>
      </c>
      <c r="P8">
        <v>0</v>
      </c>
      <c r="Q8">
        <v>34</v>
      </c>
      <c r="T8">
        <v>0</v>
      </c>
      <c r="U8">
        <v>0</v>
      </c>
      <c r="V8">
        <v>18.56</v>
      </c>
      <c r="W8">
        <v>423.56</v>
      </c>
      <c r="X8">
        <v>423.56</v>
      </c>
      <c r="Y8">
        <v>0</v>
      </c>
      <c r="Z8">
        <v>15</v>
      </c>
      <c r="AA8">
        <v>7.835860000000001</v>
      </c>
      <c r="AB8">
        <v>22.83586</v>
      </c>
      <c r="AC8">
        <v>4.11</v>
      </c>
      <c r="AD8">
        <v>0</v>
      </c>
      <c r="AE8">
        <v>0</v>
      </c>
      <c r="AF8">
        <v>0</v>
      </c>
      <c r="AG8">
        <v>0</v>
      </c>
      <c r="AH8">
        <v>0.371</v>
      </c>
      <c r="AI8">
        <v>18.56</v>
      </c>
      <c r="AJ8">
        <v>0</v>
      </c>
      <c r="AK8">
        <v>23.041</v>
      </c>
      <c r="AL8">
        <v>0</v>
      </c>
      <c r="AM8">
        <v>55</v>
      </c>
      <c r="AN8">
        <v>0</v>
      </c>
      <c r="AO8">
        <v>0</v>
      </c>
      <c r="AP8">
        <v>0</v>
      </c>
      <c r="AQ8">
        <v>55</v>
      </c>
      <c r="AR8">
        <v>134.87686</v>
      </c>
      <c r="AS8">
        <v>0</v>
      </c>
      <c r="AT8">
        <v>288.68</v>
      </c>
      <c r="AU8" t="s">
        <v>148</v>
      </c>
      <c r="AV8" t="s">
        <v>149</v>
      </c>
      <c r="AW8" t="s">
        <v>150</v>
      </c>
      <c r="AX8" t="s">
        <v>151</v>
      </c>
      <c r="AY8">
        <v>55</v>
      </c>
    </row>
    <row r="9" spans="1:52">
      <c r="A9">
        <v>6</v>
      </c>
      <c r="B9" t="s">
        <v>158</v>
      </c>
      <c r="C9" t="s">
        <v>156</v>
      </c>
      <c r="D9" t="s">
        <v>17</v>
      </c>
      <c r="E9" t="s">
        <v>14</v>
      </c>
      <c r="G9" t="s">
        <v>145</v>
      </c>
      <c r="H9" t="s">
        <v>146</v>
      </c>
      <c r="L9" t="s">
        <v>147</v>
      </c>
      <c r="N9">
        <v>243</v>
      </c>
      <c r="O9">
        <v>0</v>
      </c>
      <c r="P9">
        <v>0</v>
      </c>
      <c r="Q9">
        <v>34</v>
      </c>
      <c r="T9">
        <v>0</v>
      </c>
      <c r="U9">
        <v>0</v>
      </c>
      <c r="V9">
        <v>12.16</v>
      </c>
      <c r="W9">
        <v>289.16</v>
      </c>
      <c r="X9">
        <v>289.16</v>
      </c>
      <c r="Y9">
        <v>0</v>
      </c>
      <c r="Z9">
        <v>15</v>
      </c>
      <c r="AA9">
        <v>5.349460000000001</v>
      </c>
      <c r="AB9">
        <v>20.34946</v>
      </c>
      <c r="AC9">
        <v>3.66</v>
      </c>
      <c r="AD9">
        <v>0</v>
      </c>
      <c r="AE9">
        <v>0</v>
      </c>
      <c r="AF9">
        <v>0</v>
      </c>
      <c r="AG9">
        <v>0</v>
      </c>
      <c r="AH9">
        <v>0.243</v>
      </c>
      <c r="AI9">
        <v>12.16</v>
      </c>
      <c r="AJ9">
        <v>0</v>
      </c>
      <c r="AK9">
        <v>16.063</v>
      </c>
      <c r="AL9">
        <v>0</v>
      </c>
      <c r="AM9">
        <v>55</v>
      </c>
      <c r="AN9">
        <v>0</v>
      </c>
      <c r="AO9">
        <v>0</v>
      </c>
      <c r="AP9">
        <v>0</v>
      </c>
      <c r="AQ9">
        <v>55</v>
      </c>
      <c r="AR9">
        <v>125.41246</v>
      </c>
      <c r="AS9">
        <v>0</v>
      </c>
      <c r="AT9">
        <v>163.74</v>
      </c>
      <c r="AU9" t="s">
        <v>148</v>
      </c>
      <c r="AV9" t="s">
        <v>149</v>
      </c>
      <c r="AW9" t="s">
        <v>150</v>
      </c>
      <c r="AX9" t="s">
        <v>151</v>
      </c>
      <c r="AY9">
        <v>55</v>
      </c>
    </row>
    <row r="10" spans="1:52">
      <c r="A10">
        <v>7</v>
      </c>
      <c r="B10" t="s">
        <v>159</v>
      </c>
      <c r="C10" t="s">
        <v>160</v>
      </c>
      <c r="D10" t="s">
        <v>17</v>
      </c>
      <c r="E10" t="s">
        <v>14</v>
      </c>
      <c r="G10" t="s">
        <v>145</v>
      </c>
      <c r="H10" t="s">
        <v>146</v>
      </c>
      <c r="L10" t="s">
        <v>147</v>
      </c>
      <c r="N10">
        <v>149</v>
      </c>
      <c r="O10">
        <v>0</v>
      </c>
      <c r="P10">
        <v>0</v>
      </c>
      <c r="Q10">
        <v>34</v>
      </c>
      <c r="T10">
        <v>0</v>
      </c>
      <c r="U10">
        <v>0</v>
      </c>
      <c r="V10">
        <v>7.46</v>
      </c>
      <c r="W10">
        <v>190.46</v>
      </c>
      <c r="X10">
        <v>190.46</v>
      </c>
      <c r="Y10">
        <v>0</v>
      </c>
      <c r="Z10">
        <v>15</v>
      </c>
      <c r="AA10">
        <v>3.523510000000001</v>
      </c>
      <c r="AB10">
        <v>18.52351</v>
      </c>
      <c r="AC10">
        <v>3.33</v>
      </c>
      <c r="AD10">
        <v>0</v>
      </c>
      <c r="AE10">
        <v>0</v>
      </c>
      <c r="AF10">
        <v>0</v>
      </c>
      <c r="AG10">
        <v>0</v>
      </c>
      <c r="AH10">
        <v>0.149</v>
      </c>
      <c r="AI10">
        <v>7.46</v>
      </c>
      <c r="AJ10">
        <v>0</v>
      </c>
      <c r="AK10">
        <v>10.939</v>
      </c>
      <c r="AL10">
        <v>0</v>
      </c>
      <c r="AM10">
        <v>55</v>
      </c>
      <c r="AN10">
        <v>0</v>
      </c>
      <c r="AO10">
        <v>0</v>
      </c>
      <c r="AP10">
        <v>0</v>
      </c>
      <c r="AQ10">
        <v>55</v>
      </c>
      <c r="AR10">
        <v>118.46251</v>
      </c>
      <c r="AS10">
        <v>0</v>
      </c>
      <c r="AT10">
        <v>71.98999999999999</v>
      </c>
      <c r="AU10" t="s">
        <v>148</v>
      </c>
      <c r="AV10" t="s">
        <v>149</v>
      </c>
      <c r="AW10" t="s">
        <v>150</v>
      </c>
      <c r="AX10" t="s">
        <v>151</v>
      </c>
      <c r="AY10">
        <v>55</v>
      </c>
    </row>
    <row r="11" spans="1:52">
      <c r="A11">
        <v>8</v>
      </c>
      <c r="B11" t="s">
        <v>161</v>
      </c>
      <c r="C11" t="s">
        <v>160</v>
      </c>
      <c r="D11" t="s">
        <v>17</v>
      </c>
      <c r="E11" t="s">
        <v>14</v>
      </c>
      <c r="G11" t="s">
        <v>145</v>
      </c>
      <c r="H11" t="s">
        <v>146</v>
      </c>
      <c r="L11" t="s">
        <v>147</v>
      </c>
      <c r="N11">
        <v>189</v>
      </c>
      <c r="O11">
        <v>0</v>
      </c>
      <c r="P11">
        <v>0</v>
      </c>
      <c r="Q11">
        <v>34</v>
      </c>
      <c r="T11">
        <v>0</v>
      </c>
      <c r="U11">
        <v>0</v>
      </c>
      <c r="V11">
        <v>9.460000000000001</v>
      </c>
      <c r="W11">
        <v>232.46</v>
      </c>
      <c r="X11">
        <v>232.46</v>
      </c>
      <c r="Y11">
        <v>0</v>
      </c>
      <c r="Z11">
        <v>15</v>
      </c>
      <c r="AA11">
        <v>4.300510000000001</v>
      </c>
      <c r="AB11">
        <v>19.30051</v>
      </c>
      <c r="AC11">
        <v>3.47</v>
      </c>
      <c r="AD11">
        <v>0</v>
      </c>
      <c r="AE11">
        <v>0</v>
      </c>
      <c r="AF11">
        <v>0</v>
      </c>
      <c r="AG11">
        <v>0</v>
      </c>
      <c r="AH11">
        <v>0.189</v>
      </c>
      <c r="AI11">
        <v>9.460000000000001</v>
      </c>
      <c r="AJ11">
        <v>0</v>
      </c>
      <c r="AK11">
        <v>13.119</v>
      </c>
      <c r="AL11">
        <v>0</v>
      </c>
      <c r="AM11">
        <v>55</v>
      </c>
      <c r="AN11">
        <v>0</v>
      </c>
      <c r="AO11">
        <v>0</v>
      </c>
      <c r="AP11">
        <v>0</v>
      </c>
      <c r="AQ11">
        <v>55</v>
      </c>
      <c r="AR11">
        <v>121.41951</v>
      </c>
      <c r="AS11">
        <v>0</v>
      </c>
      <c r="AT11">
        <v>111.04</v>
      </c>
      <c r="AU11" t="s">
        <v>148</v>
      </c>
      <c r="AV11" t="s">
        <v>149</v>
      </c>
      <c r="AW11" t="s">
        <v>150</v>
      </c>
      <c r="AX11" t="s">
        <v>151</v>
      </c>
      <c r="AY11">
        <v>55</v>
      </c>
    </row>
    <row r="12" spans="1:52">
      <c r="A12">
        <v>9</v>
      </c>
      <c r="B12" t="s">
        <v>162</v>
      </c>
      <c r="C12" t="s">
        <v>160</v>
      </c>
      <c r="D12" t="s">
        <v>17</v>
      </c>
      <c r="E12" t="s">
        <v>14</v>
      </c>
      <c r="G12" t="s">
        <v>145</v>
      </c>
      <c r="H12" t="s">
        <v>146</v>
      </c>
      <c r="L12" t="s">
        <v>147</v>
      </c>
      <c r="N12">
        <v>149</v>
      </c>
      <c r="O12">
        <v>0</v>
      </c>
      <c r="P12">
        <v>0</v>
      </c>
      <c r="Q12">
        <v>34</v>
      </c>
      <c r="T12">
        <v>0</v>
      </c>
      <c r="U12">
        <v>0</v>
      </c>
      <c r="V12">
        <v>7.46</v>
      </c>
      <c r="W12">
        <v>190.46</v>
      </c>
      <c r="X12">
        <v>190.46</v>
      </c>
      <c r="Y12">
        <v>0</v>
      </c>
      <c r="Z12">
        <v>15</v>
      </c>
      <c r="AA12">
        <v>3.523510000000001</v>
      </c>
      <c r="AB12">
        <v>18.52351</v>
      </c>
      <c r="AC12">
        <v>3.33</v>
      </c>
      <c r="AD12">
        <v>0</v>
      </c>
      <c r="AE12">
        <v>0</v>
      </c>
      <c r="AF12">
        <v>0</v>
      </c>
      <c r="AG12">
        <v>0</v>
      </c>
      <c r="AH12">
        <v>0.149</v>
      </c>
      <c r="AI12">
        <v>7.46</v>
      </c>
      <c r="AJ12">
        <v>0</v>
      </c>
      <c r="AK12">
        <v>10.939</v>
      </c>
      <c r="AL12">
        <v>0</v>
      </c>
      <c r="AM12">
        <v>55</v>
      </c>
      <c r="AN12">
        <v>0</v>
      </c>
      <c r="AO12">
        <v>0</v>
      </c>
      <c r="AP12">
        <v>0</v>
      </c>
      <c r="AQ12">
        <v>55</v>
      </c>
      <c r="AR12">
        <v>118.46251</v>
      </c>
      <c r="AS12">
        <v>0</v>
      </c>
      <c r="AT12">
        <v>71.98999999999999</v>
      </c>
      <c r="AU12" t="s">
        <v>148</v>
      </c>
      <c r="AV12" t="s">
        <v>149</v>
      </c>
      <c r="AW12" t="s">
        <v>150</v>
      </c>
      <c r="AX12" t="s">
        <v>151</v>
      </c>
      <c r="AY12">
        <v>55</v>
      </c>
    </row>
    <row r="13" spans="1:52">
      <c r="A13">
        <v>10</v>
      </c>
      <c r="B13" t="s">
        <v>163</v>
      </c>
      <c r="C13" t="s">
        <v>160</v>
      </c>
      <c r="D13" t="s">
        <v>17</v>
      </c>
      <c r="E13" t="s">
        <v>14</v>
      </c>
      <c r="G13" t="s">
        <v>145</v>
      </c>
      <c r="H13" t="s">
        <v>146</v>
      </c>
      <c r="L13" t="s">
        <v>147</v>
      </c>
      <c r="N13">
        <v>298</v>
      </c>
      <c r="O13">
        <v>0</v>
      </c>
      <c r="P13">
        <v>0</v>
      </c>
      <c r="Q13">
        <v>34</v>
      </c>
      <c r="T13">
        <v>0</v>
      </c>
      <c r="U13">
        <v>0</v>
      </c>
      <c r="V13">
        <v>14.92</v>
      </c>
      <c r="W13">
        <v>346.92</v>
      </c>
      <c r="X13">
        <v>346.92</v>
      </c>
      <c r="Y13">
        <v>0</v>
      </c>
      <c r="Z13">
        <v>15</v>
      </c>
      <c r="AA13">
        <v>6.418020000000001</v>
      </c>
      <c r="AB13">
        <v>21.41802</v>
      </c>
      <c r="AC13">
        <v>3.86</v>
      </c>
      <c r="AD13">
        <v>0</v>
      </c>
      <c r="AE13">
        <v>0</v>
      </c>
      <c r="AF13">
        <v>0</v>
      </c>
      <c r="AG13">
        <v>0</v>
      </c>
      <c r="AH13">
        <v>0.298</v>
      </c>
      <c r="AI13">
        <v>14.92</v>
      </c>
      <c r="AJ13">
        <v>0</v>
      </c>
      <c r="AK13">
        <v>19.078</v>
      </c>
      <c r="AL13">
        <v>0</v>
      </c>
      <c r="AM13">
        <v>55</v>
      </c>
      <c r="AN13">
        <v>0</v>
      </c>
      <c r="AO13">
        <v>0</v>
      </c>
      <c r="AP13">
        <v>0</v>
      </c>
      <c r="AQ13">
        <v>55</v>
      </c>
      <c r="AR13">
        <v>129.49602</v>
      </c>
      <c r="AS13">
        <v>0</v>
      </c>
      <c r="AT13">
        <v>217.43</v>
      </c>
      <c r="AU13" t="s">
        <v>148</v>
      </c>
      <c r="AV13" t="s">
        <v>149</v>
      </c>
      <c r="AW13" t="s">
        <v>150</v>
      </c>
      <c r="AX13" t="s">
        <v>151</v>
      </c>
      <c r="AY13">
        <v>55</v>
      </c>
    </row>
    <row r="14" spans="1:52">
      <c r="A14">
        <v>11</v>
      </c>
      <c r="B14" t="s">
        <v>164</v>
      </c>
      <c r="C14" t="s">
        <v>160</v>
      </c>
      <c r="D14" t="s">
        <v>17</v>
      </c>
      <c r="E14" t="s">
        <v>14</v>
      </c>
      <c r="G14" t="s">
        <v>145</v>
      </c>
      <c r="H14" t="s">
        <v>146</v>
      </c>
      <c r="L14" t="s">
        <v>147</v>
      </c>
      <c r="N14">
        <v>594</v>
      </c>
      <c r="O14">
        <v>0</v>
      </c>
      <c r="P14">
        <v>0</v>
      </c>
      <c r="Q14">
        <v>34</v>
      </c>
      <c r="T14">
        <v>0</v>
      </c>
      <c r="U14">
        <v>0</v>
      </c>
      <c r="V14">
        <v>29.72</v>
      </c>
      <c r="W14">
        <v>657.72</v>
      </c>
      <c r="X14">
        <v>657.72</v>
      </c>
      <c r="Y14">
        <v>0</v>
      </c>
      <c r="Z14">
        <v>15</v>
      </c>
      <c r="AA14">
        <v>12.16782</v>
      </c>
      <c r="AB14">
        <v>27.16782</v>
      </c>
      <c r="AC14">
        <v>4.890000000000001</v>
      </c>
      <c r="AD14">
        <v>0</v>
      </c>
      <c r="AE14">
        <v>0</v>
      </c>
      <c r="AF14">
        <v>0</v>
      </c>
      <c r="AG14">
        <v>0</v>
      </c>
      <c r="AH14">
        <v>0.594</v>
      </c>
      <c r="AI14">
        <v>29.72</v>
      </c>
      <c r="AJ14">
        <v>0</v>
      </c>
      <c r="AK14">
        <v>35.204</v>
      </c>
      <c r="AL14">
        <v>0</v>
      </c>
      <c r="AM14">
        <v>55</v>
      </c>
      <c r="AN14">
        <v>0</v>
      </c>
      <c r="AO14">
        <v>0</v>
      </c>
      <c r="AP14">
        <v>0</v>
      </c>
      <c r="AQ14">
        <v>55</v>
      </c>
      <c r="AR14">
        <v>151.37182</v>
      </c>
      <c r="AS14">
        <v>0</v>
      </c>
      <c r="AT14">
        <v>506.35</v>
      </c>
      <c r="AU14" t="s">
        <v>148</v>
      </c>
      <c r="AV14" t="s">
        <v>149</v>
      </c>
      <c r="AW14" t="s">
        <v>150</v>
      </c>
      <c r="AX14" t="s">
        <v>151</v>
      </c>
      <c r="AY14">
        <v>55</v>
      </c>
    </row>
    <row r="15" spans="1:52">
      <c r="A15">
        <v>12</v>
      </c>
      <c r="B15" t="s">
        <v>165</v>
      </c>
      <c r="C15" t="s">
        <v>160</v>
      </c>
      <c r="D15" t="s">
        <v>17</v>
      </c>
      <c r="E15" t="s">
        <v>14</v>
      </c>
      <c r="G15" t="s">
        <v>145</v>
      </c>
      <c r="H15" t="s">
        <v>146</v>
      </c>
      <c r="L15" t="s">
        <v>147</v>
      </c>
      <c r="N15">
        <v>869</v>
      </c>
      <c r="O15">
        <v>0</v>
      </c>
      <c r="P15">
        <v>0</v>
      </c>
      <c r="Q15">
        <v>34</v>
      </c>
      <c r="T15">
        <v>0</v>
      </c>
      <c r="U15">
        <v>0</v>
      </c>
      <c r="V15">
        <v>43.48</v>
      </c>
      <c r="W15">
        <v>946.48</v>
      </c>
      <c r="X15">
        <v>946.48</v>
      </c>
      <c r="Y15">
        <v>0</v>
      </c>
      <c r="Z15">
        <v>15</v>
      </c>
      <c r="AA15">
        <v>17.50988</v>
      </c>
      <c r="AB15">
        <v>32.50988</v>
      </c>
      <c r="AC15">
        <v>5.85</v>
      </c>
      <c r="AD15">
        <v>0</v>
      </c>
      <c r="AE15">
        <v>0</v>
      </c>
      <c r="AF15">
        <v>0</v>
      </c>
      <c r="AG15">
        <v>0</v>
      </c>
      <c r="AH15">
        <v>0.869</v>
      </c>
      <c r="AI15">
        <v>43.48</v>
      </c>
      <c r="AJ15">
        <v>0</v>
      </c>
      <c r="AK15">
        <v>50.19900000000001</v>
      </c>
      <c r="AL15">
        <v>0</v>
      </c>
      <c r="AM15">
        <v>55</v>
      </c>
      <c r="AN15">
        <v>0</v>
      </c>
      <c r="AO15">
        <v>0</v>
      </c>
      <c r="AP15">
        <v>0</v>
      </c>
      <c r="AQ15">
        <v>55</v>
      </c>
      <c r="AR15">
        <v>171.70888</v>
      </c>
      <c r="AS15">
        <v>0</v>
      </c>
      <c r="AT15">
        <v>774.77</v>
      </c>
      <c r="AU15" t="s">
        <v>148</v>
      </c>
      <c r="AV15" t="s">
        <v>149</v>
      </c>
      <c r="AW15" t="s">
        <v>150</v>
      </c>
      <c r="AX15" t="s">
        <v>151</v>
      </c>
      <c r="AY15">
        <v>55</v>
      </c>
    </row>
    <row r="16" spans="1:52">
      <c r="A16">
        <v>13</v>
      </c>
      <c r="B16" t="s">
        <v>166</v>
      </c>
      <c r="C16" t="s">
        <v>160</v>
      </c>
      <c r="D16" t="s">
        <v>17</v>
      </c>
      <c r="E16" t="s">
        <v>14</v>
      </c>
      <c r="G16" t="s">
        <v>145</v>
      </c>
      <c r="H16" t="s">
        <v>146</v>
      </c>
      <c r="L16" t="s">
        <v>147</v>
      </c>
      <c r="N16">
        <v>224</v>
      </c>
      <c r="O16">
        <v>0</v>
      </c>
      <c r="P16">
        <v>0</v>
      </c>
      <c r="Q16">
        <v>34</v>
      </c>
      <c r="T16">
        <v>0</v>
      </c>
      <c r="U16">
        <v>0</v>
      </c>
      <c r="V16">
        <v>11.2</v>
      </c>
      <c r="W16">
        <v>269.2</v>
      </c>
      <c r="X16">
        <v>269.2</v>
      </c>
      <c r="Y16">
        <v>0</v>
      </c>
      <c r="Z16">
        <v>15</v>
      </c>
      <c r="AA16">
        <v>4.980200000000001</v>
      </c>
      <c r="AB16">
        <v>19.9802</v>
      </c>
      <c r="AC16">
        <v>3.6</v>
      </c>
      <c r="AD16">
        <v>0</v>
      </c>
      <c r="AE16">
        <v>0</v>
      </c>
      <c r="AF16">
        <v>0</v>
      </c>
      <c r="AG16">
        <v>0</v>
      </c>
      <c r="AH16">
        <v>0.224</v>
      </c>
      <c r="AI16">
        <v>11.2</v>
      </c>
      <c r="AJ16">
        <v>0</v>
      </c>
      <c r="AK16">
        <v>15.024</v>
      </c>
      <c r="AL16">
        <v>0</v>
      </c>
      <c r="AM16">
        <v>55</v>
      </c>
      <c r="AN16">
        <v>0</v>
      </c>
      <c r="AO16">
        <v>0</v>
      </c>
      <c r="AP16">
        <v>0</v>
      </c>
      <c r="AQ16">
        <v>55</v>
      </c>
      <c r="AR16">
        <v>124.0042</v>
      </c>
      <c r="AS16">
        <v>0</v>
      </c>
      <c r="AT16">
        <v>145.2</v>
      </c>
      <c r="AU16" t="s">
        <v>148</v>
      </c>
      <c r="AV16" t="s">
        <v>149</v>
      </c>
      <c r="AW16" t="s">
        <v>150</v>
      </c>
      <c r="AX16" t="s">
        <v>151</v>
      </c>
      <c r="AY16">
        <v>55</v>
      </c>
    </row>
    <row r="17" spans="1:51">
      <c r="A17">
        <v>14</v>
      </c>
      <c r="B17" t="s">
        <v>167</v>
      </c>
      <c r="C17" t="s">
        <v>168</v>
      </c>
      <c r="D17" t="s">
        <v>17</v>
      </c>
      <c r="E17" t="s">
        <v>14</v>
      </c>
      <c r="G17" t="s">
        <v>145</v>
      </c>
      <c r="H17" t="s">
        <v>146</v>
      </c>
      <c r="L17" t="s">
        <v>147</v>
      </c>
      <c r="N17">
        <v>149</v>
      </c>
      <c r="O17">
        <v>0</v>
      </c>
      <c r="P17">
        <v>0</v>
      </c>
      <c r="Q17">
        <v>14</v>
      </c>
      <c r="T17">
        <v>0</v>
      </c>
      <c r="U17">
        <v>0</v>
      </c>
      <c r="V17">
        <v>7.46</v>
      </c>
      <c r="W17">
        <v>170.46</v>
      </c>
      <c r="X17">
        <v>170.46</v>
      </c>
      <c r="Y17">
        <v>0</v>
      </c>
      <c r="Z17">
        <v>15</v>
      </c>
      <c r="AA17">
        <v>3.153510000000001</v>
      </c>
      <c r="AB17">
        <v>18.15351</v>
      </c>
      <c r="AC17">
        <v>3.27</v>
      </c>
      <c r="AD17">
        <v>0</v>
      </c>
      <c r="AE17">
        <v>0</v>
      </c>
      <c r="AF17">
        <v>0</v>
      </c>
      <c r="AG17">
        <v>0</v>
      </c>
      <c r="AH17">
        <v>0.149</v>
      </c>
      <c r="AI17">
        <v>7.46</v>
      </c>
      <c r="AJ17">
        <v>0</v>
      </c>
      <c r="AK17">
        <v>10.879</v>
      </c>
      <c r="AL17">
        <v>0</v>
      </c>
      <c r="AM17">
        <v>55</v>
      </c>
      <c r="AN17">
        <v>0</v>
      </c>
      <c r="AO17">
        <v>0</v>
      </c>
      <c r="AP17">
        <v>0</v>
      </c>
      <c r="AQ17">
        <v>55</v>
      </c>
      <c r="AR17">
        <v>98.03251</v>
      </c>
      <c r="AS17">
        <v>0</v>
      </c>
      <c r="AT17">
        <v>72.43000000000001</v>
      </c>
      <c r="AU17" t="s">
        <v>148</v>
      </c>
      <c r="AV17" t="s">
        <v>149</v>
      </c>
      <c r="AW17" t="s">
        <v>150</v>
      </c>
      <c r="AX17" t="s">
        <v>151</v>
      </c>
      <c r="AY17">
        <v>55</v>
      </c>
    </row>
    <row r="18" spans="1:51">
      <c r="A18">
        <v>15</v>
      </c>
      <c r="B18" t="s">
        <v>169</v>
      </c>
      <c r="C18" t="s">
        <v>168</v>
      </c>
      <c r="D18" t="s">
        <v>17</v>
      </c>
      <c r="E18" t="s">
        <v>14</v>
      </c>
      <c r="G18" t="s">
        <v>145</v>
      </c>
      <c r="H18" t="s">
        <v>146</v>
      </c>
      <c r="L18" t="s">
        <v>147</v>
      </c>
      <c r="N18">
        <v>223</v>
      </c>
      <c r="O18">
        <v>0</v>
      </c>
      <c r="P18">
        <v>0</v>
      </c>
      <c r="Q18">
        <v>27</v>
      </c>
      <c r="T18">
        <v>0</v>
      </c>
      <c r="U18">
        <v>0</v>
      </c>
      <c r="V18">
        <v>11.16</v>
      </c>
      <c r="W18">
        <v>261.16</v>
      </c>
      <c r="X18">
        <v>261.16</v>
      </c>
      <c r="Y18">
        <v>0</v>
      </c>
      <c r="Z18">
        <v>15</v>
      </c>
      <c r="AA18">
        <v>4.83146</v>
      </c>
      <c r="AB18">
        <v>19.83146</v>
      </c>
      <c r="AC18">
        <v>3.57</v>
      </c>
      <c r="AD18">
        <v>0</v>
      </c>
      <c r="AE18">
        <v>0</v>
      </c>
      <c r="AF18">
        <v>0</v>
      </c>
      <c r="AG18">
        <v>0</v>
      </c>
      <c r="AH18">
        <v>0.223</v>
      </c>
      <c r="AI18">
        <v>11.16</v>
      </c>
      <c r="AJ18">
        <v>0</v>
      </c>
      <c r="AK18">
        <v>14.953</v>
      </c>
      <c r="AL18">
        <v>0</v>
      </c>
      <c r="AM18">
        <v>55</v>
      </c>
      <c r="AN18">
        <v>0</v>
      </c>
      <c r="AO18">
        <v>0</v>
      </c>
      <c r="AP18">
        <v>0</v>
      </c>
      <c r="AQ18">
        <v>55</v>
      </c>
      <c r="AR18">
        <v>116.78446</v>
      </c>
      <c r="AS18">
        <v>0</v>
      </c>
      <c r="AT18">
        <v>144.38</v>
      </c>
      <c r="AU18" t="s">
        <v>148</v>
      </c>
      <c r="AV18" t="s">
        <v>149</v>
      </c>
      <c r="AW18" t="s">
        <v>150</v>
      </c>
      <c r="AX18" t="s">
        <v>151</v>
      </c>
      <c r="AY18">
        <v>55</v>
      </c>
    </row>
    <row r="19" spans="1:51">
      <c r="A19">
        <v>16</v>
      </c>
      <c r="B19" t="s">
        <v>170</v>
      </c>
      <c r="C19" t="s">
        <v>171</v>
      </c>
      <c r="D19" t="s">
        <v>17</v>
      </c>
      <c r="E19" t="s">
        <v>14</v>
      </c>
      <c r="G19" t="s">
        <v>145</v>
      </c>
      <c r="H19" t="s">
        <v>146</v>
      </c>
      <c r="L19" t="s">
        <v>147</v>
      </c>
      <c r="N19">
        <v>124</v>
      </c>
      <c r="O19">
        <v>0</v>
      </c>
      <c r="P19">
        <v>0</v>
      </c>
      <c r="Q19">
        <v>14</v>
      </c>
      <c r="T19">
        <v>0</v>
      </c>
      <c r="U19">
        <v>0</v>
      </c>
      <c r="V19">
        <v>6.2</v>
      </c>
      <c r="W19">
        <v>144.2</v>
      </c>
      <c r="X19">
        <v>144.2</v>
      </c>
      <c r="Y19">
        <v>0</v>
      </c>
      <c r="Z19">
        <v>15</v>
      </c>
      <c r="AA19">
        <v>2.6677</v>
      </c>
      <c r="AB19">
        <v>17.6677</v>
      </c>
      <c r="AC19">
        <v>3.18</v>
      </c>
      <c r="AD19">
        <v>0</v>
      </c>
      <c r="AE19">
        <v>0</v>
      </c>
      <c r="AF19">
        <v>0</v>
      </c>
      <c r="AG19">
        <v>0</v>
      </c>
      <c r="AH19">
        <v>0.124</v>
      </c>
      <c r="AI19">
        <v>6.2</v>
      </c>
      <c r="AJ19">
        <v>0</v>
      </c>
      <c r="AK19">
        <v>9.504000000000001</v>
      </c>
      <c r="AL19">
        <v>0</v>
      </c>
      <c r="AM19">
        <v>55</v>
      </c>
      <c r="AN19">
        <v>0</v>
      </c>
      <c r="AO19">
        <v>0</v>
      </c>
      <c r="AP19">
        <v>0</v>
      </c>
      <c r="AQ19">
        <v>55</v>
      </c>
      <c r="AR19">
        <v>96.1717</v>
      </c>
      <c r="AS19">
        <v>0</v>
      </c>
      <c r="AT19">
        <v>48.03</v>
      </c>
      <c r="AU19" t="s">
        <v>148</v>
      </c>
      <c r="AV19" t="s">
        <v>149</v>
      </c>
      <c r="AW19" t="s">
        <v>150</v>
      </c>
      <c r="AX19" t="s">
        <v>151</v>
      </c>
      <c r="AY19">
        <v>55</v>
      </c>
    </row>
    <row r="20" spans="1:51">
      <c r="A20">
        <v>17</v>
      </c>
      <c r="B20" t="s">
        <v>172</v>
      </c>
      <c r="C20" t="s">
        <v>171</v>
      </c>
      <c r="D20" t="s">
        <v>17</v>
      </c>
      <c r="E20" t="s">
        <v>14</v>
      </c>
      <c r="G20" t="s">
        <v>145</v>
      </c>
      <c r="H20" t="s">
        <v>146</v>
      </c>
      <c r="L20" t="s">
        <v>147</v>
      </c>
      <c r="N20">
        <v>585</v>
      </c>
      <c r="O20">
        <v>0</v>
      </c>
      <c r="P20">
        <v>0</v>
      </c>
      <c r="Q20">
        <v>27</v>
      </c>
      <c r="T20">
        <v>0</v>
      </c>
      <c r="U20">
        <v>0</v>
      </c>
      <c r="V20">
        <v>29.28</v>
      </c>
      <c r="W20">
        <v>641.28</v>
      </c>
      <c r="X20">
        <v>641.28</v>
      </c>
      <c r="Y20">
        <v>0</v>
      </c>
      <c r="Z20">
        <v>15</v>
      </c>
      <c r="AA20">
        <v>11.86368</v>
      </c>
      <c r="AB20">
        <v>26.86368</v>
      </c>
      <c r="AC20">
        <v>4.84</v>
      </c>
      <c r="AD20">
        <v>0</v>
      </c>
      <c r="AE20">
        <v>0</v>
      </c>
      <c r="AF20">
        <v>0</v>
      </c>
      <c r="AG20">
        <v>0</v>
      </c>
      <c r="AH20">
        <v>0.585</v>
      </c>
      <c r="AI20">
        <v>29.28</v>
      </c>
      <c r="AJ20">
        <v>0</v>
      </c>
      <c r="AK20">
        <v>34.705</v>
      </c>
      <c r="AL20">
        <v>0</v>
      </c>
      <c r="AM20">
        <v>55</v>
      </c>
      <c r="AN20">
        <v>0</v>
      </c>
      <c r="AO20">
        <v>0</v>
      </c>
      <c r="AP20">
        <v>0</v>
      </c>
      <c r="AQ20">
        <v>55</v>
      </c>
      <c r="AR20">
        <v>143.56868</v>
      </c>
      <c r="AS20">
        <v>0</v>
      </c>
      <c r="AT20">
        <v>497.72</v>
      </c>
      <c r="AU20" t="s">
        <v>148</v>
      </c>
      <c r="AV20" t="s">
        <v>149</v>
      </c>
      <c r="AW20" t="s">
        <v>150</v>
      </c>
      <c r="AX20" t="s">
        <v>151</v>
      </c>
      <c r="AY20">
        <v>55</v>
      </c>
    </row>
    <row r="21" spans="1:51">
      <c r="A21">
        <v>18</v>
      </c>
      <c r="B21" t="s">
        <v>173</v>
      </c>
      <c r="C21" t="s">
        <v>171</v>
      </c>
      <c r="D21" t="s">
        <v>17</v>
      </c>
      <c r="E21" t="s">
        <v>14</v>
      </c>
      <c r="G21" t="s">
        <v>145</v>
      </c>
      <c r="H21" t="s">
        <v>146</v>
      </c>
      <c r="L21" t="s">
        <v>147</v>
      </c>
      <c r="N21">
        <v>192</v>
      </c>
      <c r="O21">
        <v>0</v>
      </c>
      <c r="P21">
        <v>0</v>
      </c>
      <c r="Q21">
        <v>14</v>
      </c>
      <c r="T21">
        <v>0</v>
      </c>
      <c r="U21">
        <v>0</v>
      </c>
      <c r="V21">
        <v>9.6</v>
      </c>
      <c r="W21">
        <v>215.6</v>
      </c>
      <c r="X21">
        <v>215.6</v>
      </c>
      <c r="Y21">
        <v>0</v>
      </c>
      <c r="Z21">
        <v>15</v>
      </c>
      <c r="AA21">
        <v>3.9886</v>
      </c>
      <c r="AB21">
        <v>18.9886</v>
      </c>
      <c r="AC21">
        <v>3.42</v>
      </c>
      <c r="AD21">
        <v>0</v>
      </c>
      <c r="AE21">
        <v>0</v>
      </c>
      <c r="AF21">
        <v>0</v>
      </c>
      <c r="AG21">
        <v>0</v>
      </c>
      <c r="AH21">
        <v>0.192</v>
      </c>
      <c r="AI21">
        <v>9.6</v>
      </c>
      <c r="AJ21">
        <v>0</v>
      </c>
      <c r="AK21">
        <v>13.212</v>
      </c>
      <c r="AL21">
        <v>0</v>
      </c>
      <c r="AM21">
        <v>55</v>
      </c>
      <c r="AN21">
        <v>0</v>
      </c>
      <c r="AO21">
        <v>0</v>
      </c>
      <c r="AP21">
        <v>0</v>
      </c>
      <c r="AQ21">
        <v>55</v>
      </c>
      <c r="AR21">
        <v>101.2006</v>
      </c>
      <c r="AS21">
        <v>0</v>
      </c>
      <c r="AT21">
        <v>114.4</v>
      </c>
      <c r="AU21" t="s">
        <v>148</v>
      </c>
      <c r="AV21" t="s">
        <v>149</v>
      </c>
      <c r="AW21" t="s">
        <v>150</v>
      </c>
      <c r="AX21" t="s">
        <v>151</v>
      </c>
      <c r="AY21">
        <v>55</v>
      </c>
    </row>
    <row r="22" spans="1:51">
      <c r="A22">
        <v>19</v>
      </c>
      <c r="B22" t="s">
        <v>174</v>
      </c>
      <c r="C22" t="s">
        <v>171</v>
      </c>
      <c r="D22" t="s">
        <v>17</v>
      </c>
      <c r="E22" t="s">
        <v>14</v>
      </c>
      <c r="G22" t="s">
        <v>145</v>
      </c>
      <c r="H22" t="s">
        <v>146</v>
      </c>
      <c r="L22" t="s">
        <v>147</v>
      </c>
      <c r="N22">
        <v>125.5</v>
      </c>
      <c r="O22">
        <v>0</v>
      </c>
      <c r="P22">
        <v>0</v>
      </c>
      <c r="Q22">
        <v>14</v>
      </c>
      <c r="T22">
        <v>0</v>
      </c>
      <c r="U22">
        <v>0</v>
      </c>
      <c r="V22">
        <v>6.28</v>
      </c>
      <c r="W22">
        <v>145.78</v>
      </c>
      <c r="X22">
        <v>145.78</v>
      </c>
      <c r="Y22">
        <v>0</v>
      </c>
      <c r="Z22">
        <v>15</v>
      </c>
      <c r="AA22">
        <v>2.69693</v>
      </c>
      <c r="AB22">
        <v>17.69693</v>
      </c>
      <c r="AC22">
        <v>3.19</v>
      </c>
      <c r="AD22">
        <v>0</v>
      </c>
      <c r="AE22">
        <v>0</v>
      </c>
      <c r="AF22">
        <v>0</v>
      </c>
      <c r="AG22">
        <v>0</v>
      </c>
      <c r="AH22">
        <v>0.1255</v>
      </c>
      <c r="AI22">
        <v>6.28</v>
      </c>
      <c r="AJ22">
        <v>0</v>
      </c>
      <c r="AK22">
        <v>9.595500000000001</v>
      </c>
      <c r="AL22">
        <v>0</v>
      </c>
      <c r="AM22">
        <v>55</v>
      </c>
      <c r="AN22">
        <v>0</v>
      </c>
      <c r="AO22">
        <v>0</v>
      </c>
      <c r="AP22">
        <v>0</v>
      </c>
      <c r="AQ22">
        <v>55</v>
      </c>
      <c r="AR22">
        <v>96.29243</v>
      </c>
      <c r="AS22">
        <v>0</v>
      </c>
      <c r="AT22">
        <v>49.49</v>
      </c>
      <c r="AU22" t="s">
        <v>148</v>
      </c>
      <c r="AV22" t="s">
        <v>149</v>
      </c>
      <c r="AW22" t="s">
        <v>150</v>
      </c>
      <c r="AX22" t="s">
        <v>151</v>
      </c>
      <c r="AY22">
        <v>55</v>
      </c>
    </row>
    <row r="23" spans="1:51">
      <c r="A23">
        <v>20</v>
      </c>
      <c r="B23" t="s">
        <v>175</v>
      </c>
      <c r="C23" t="s">
        <v>176</v>
      </c>
      <c r="D23" t="s">
        <v>17</v>
      </c>
      <c r="E23" t="s">
        <v>14</v>
      </c>
      <c r="G23" t="s">
        <v>145</v>
      </c>
      <c r="H23" t="s">
        <v>146</v>
      </c>
      <c r="L23" t="s">
        <v>147</v>
      </c>
      <c r="N23">
        <v>139</v>
      </c>
      <c r="O23">
        <v>0</v>
      </c>
      <c r="P23">
        <v>0</v>
      </c>
      <c r="Q23">
        <v>14</v>
      </c>
      <c r="T23">
        <v>0</v>
      </c>
      <c r="U23">
        <v>0</v>
      </c>
      <c r="V23">
        <v>6.96</v>
      </c>
      <c r="W23">
        <v>159.96</v>
      </c>
      <c r="X23">
        <v>159.96</v>
      </c>
      <c r="Y23">
        <v>0</v>
      </c>
      <c r="Z23">
        <v>15</v>
      </c>
      <c r="AA23">
        <v>2.95926</v>
      </c>
      <c r="AB23">
        <v>17.95926</v>
      </c>
      <c r="AC23">
        <v>3.23</v>
      </c>
      <c r="AD23">
        <v>0</v>
      </c>
      <c r="AE23">
        <v>0</v>
      </c>
      <c r="AF23">
        <v>0</v>
      </c>
      <c r="AG23">
        <v>0</v>
      </c>
      <c r="AH23">
        <v>0.139</v>
      </c>
      <c r="AI23">
        <v>6.96</v>
      </c>
      <c r="AJ23">
        <v>0</v>
      </c>
      <c r="AK23">
        <v>10.329</v>
      </c>
      <c r="AL23">
        <v>0</v>
      </c>
      <c r="AM23">
        <v>55</v>
      </c>
      <c r="AN23">
        <v>0</v>
      </c>
      <c r="AO23">
        <v>0</v>
      </c>
      <c r="AP23">
        <v>0</v>
      </c>
      <c r="AQ23">
        <v>55</v>
      </c>
      <c r="AR23">
        <v>97.28826000000001</v>
      </c>
      <c r="AS23">
        <v>0</v>
      </c>
      <c r="AT23">
        <v>62.67</v>
      </c>
      <c r="AU23" t="s">
        <v>148</v>
      </c>
      <c r="AV23" t="s">
        <v>149</v>
      </c>
      <c r="AW23" t="s">
        <v>150</v>
      </c>
      <c r="AX23" t="s">
        <v>151</v>
      </c>
      <c r="AY23">
        <v>55</v>
      </c>
    </row>
    <row r="24" spans="1:51">
      <c r="A24">
        <v>21</v>
      </c>
      <c r="B24" t="s">
        <v>177</v>
      </c>
      <c r="C24" t="s">
        <v>176</v>
      </c>
      <c r="D24" t="s">
        <v>17</v>
      </c>
      <c r="E24" t="s">
        <v>14</v>
      </c>
      <c r="G24" t="s">
        <v>145</v>
      </c>
      <c r="H24" t="s">
        <v>146</v>
      </c>
      <c r="L24" t="s">
        <v>147</v>
      </c>
      <c r="N24">
        <v>124</v>
      </c>
      <c r="O24">
        <v>0</v>
      </c>
      <c r="P24">
        <v>0</v>
      </c>
      <c r="Q24">
        <v>14</v>
      </c>
      <c r="T24">
        <v>0</v>
      </c>
      <c r="U24">
        <v>0</v>
      </c>
      <c r="V24">
        <v>6.2</v>
      </c>
      <c r="W24">
        <v>144.2</v>
      </c>
      <c r="X24">
        <v>144.2</v>
      </c>
      <c r="Y24">
        <v>0</v>
      </c>
      <c r="Z24">
        <v>15</v>
      </c>
      <c r="AA24">
        <v>2.6677</v>
      </c>
      <c r="AB24">
        <v>17.6677</v>
      </c>
      <c r="AC24">
        <v>3.18</v>
      </c>
      <c r="AD24">
        <v>0</v>
      </c>
      <c r="AE24">
        <v>0</v>
      </c>
      <c r="AF24">
        <v>0</v>
      </c>
      <c r="AG24">
        <v>0</v>
      </c>
      <c r="AH24">
        <v>0.124</v>
      </c>
      <c r="AI24">
        <v>6.2</v>
      </c>
      <c r="AJ24">
        <v>0</v>
      </c>
      <c r="AK24">
        <v>9.504000000000001</v>
      </c>
      <c r="AL24">
        <v>0</v>
      </c>
      <c r="AM24">
        <v>55</v>
      </c>
      <c r="AN24">
        <v>0</v>
      </c>
      <c r="AO24">
        <v>0</v>
      </c>
      <c r="AP24">
        <v>0</v>
      </c>
      <c r="AQ24">
        <v>55</v>
      </c>
      <c r="AR24">
        <v>96.1717</v>
      </c>
      <c r="AS24">
        <v>0</v>
      </c>
      <c r="AT24">
        <v>48.03</v>
      </c>
      <c r="AU24" t="s">
        <v>148</v>
      </c>
      <c r="AV24" t="s">
        <v>149</v>
      </c>
      <c r="AW24" t="s">
        <v>150</v>
      </c>
      <c r="AX24" t="s">
        <v>151</v>
      </c>
      <c r="AY24">
        <v>55</v>
      </c>
    </row>
    <row r="25" spans="1:51">
      <c r="A25">
        <v>22</v>
      </c>
      <c r="B25" t="s">
        <v>178</v>
      </c>
      <c r="C25" t="s">
        <v>176</v>
      </c>
      <c r="D25" t="s">
        <v>17</v>
      </c>
      <c r="E25" t="s">
        <v>14</v>
      </c>
      <c r="G25" t="s">
        <v>145</v>
      </c>
      <c r="H25" t="s">
        <v>146</v>
      </c>
      <c r="L25" t="s">
        <v>147</v>
      </c>
      <c r="N25">
        <v>174</v>
      </c>
      <c r="O25">
        <v>0</v>
      </c>
      <c r="P25">
        <v>0</v>
      </c>
      <c r="Q25">
        <v>14</v>
      </c>
      <c r="T25">
        <v>0</v>
      </c>
      <c r="U25">
        <v>0</v>
      </c>
      <c r="V25">
        <v>8.699999999999999</v>
      </c>
      <c r="W25">
        <v>196.7</v>
      </c>
      <c r="X25">
        <v>196.7</v>
      </c>
      <c r="Y25">
        <v>0</v>
      </c>
      <c r="Z25">
        <v>15</v>
      </c>
      <c r="AA25">
        <v>3.63895</v>
      </c>
      <c r="AB25">
        <v>18.63895</v>
      </c>
      <c r="AC25">
        <v>3.36</v>
      </c>
      <c r="AD25">
        <v>0</v>
      </c>
      <c r="AE25">
        <v>0</v>
      </c>
      <c r="AF25">
        <v>0</v>
      </c>
      <c r="AG25">
        <v>0</v>
      </c>
      <c r="AH25">
        <v>0.174</v>
      </c>
      <c r="AI25">
        <v>8.699999999999999</v>
      </c>
      <c r="AJ25">
        <v>0</v>
      </c>
      <c r="AK25">
        <v>12.234</v>
      </c>
      <c r="AL25">
        <v>0</v>
      </c>
      <c r="AM25">
        <v>55</v>
      </c>
      <c r="AN25">
        <v>0</v>
      </c>
      <c r="AO25">
        <v>0</v>
      </c>
      <c r="AP25">
        <v>0</v>
      </c>
      <c r="AQ25">
        <v>55</v>
      </c>
      <c r="AR25">
        <v>99.87295</v>
      </c>
      <c r="AS25">
        <v>0</v>
      </c>
      <c r="AT25">
        <v>96.83</v>
      </c>
      <c r="AU25" t="s">
        <v>148</v>
      </c>
      <c r="AV25" t="s">
        <v>149</v>
      </c>
      <c r="AW25" t="s">
        <v>150</v>
      </c>
      <c r="AX25" t="s">
        <v>151</v>
      </c>
      <c r="AY25">
        <v>55</v>
      </c>
    </row>
    <row r="26" spans="1:51">
      <c r="A26">
        <v>23</v>
      </c>
      <c r="B26" t="s">
        <v>179</v>
      </c>
      <c r="C26" t="s">
        <v>176</v>
      </c>
      <c r="D26" t="s">
        <v>17</v>
      </c>
      <c r="E26" t="s">
        <v>14</v>
      </c>
      <c r="G26" t="s">
        <v>145</v>
      </c>
      <c r="H26" t="s">
        <v>146</v>
      </c>
      <c r="L26" t="s">
        <v>147</v>
      </c>
      <c r="N26">
        <v>224</v>
      </c>
      <c r="O26">
        <v>0</v>
      </c>
      <c r="P26">
        <v>0</v>
      </c>
      <c r="Q26">
        <v>14</v>
      </c>
      <c r="T26">
        <v>0</v>
      </c>
      <c r="U26">
        <v>0</v>
      </c>
      <c r="V26">
        <v>11.2</v>
      </c>
      <c r="W26">
        <v>249.2</v>
      </c>
      <c r="X26">
        <v>249.2</v>
      </c>
      <c r="Y26">
        <v>0</v>
      </c>
      <c r="Z26">
        <v>15</v>
      </c>
      <c r="AA26">
        <v>4.610200000000001</v>
      </c>
      <c r="AB26">
        <v>19.6102</v>
      </c>
      <c r="AC26">
        <v>3.53</v>
      </c>
      <c r="AD26">
        <v>0</v>
      </c>
      <c r="AE26">
        <v>0</v>
      </c>
      <c r="AF26">
        <v>0</v>
      </c>
      <c r="AG26">
        <v>0</v>
      </c>
      <c r="AH26">
        <v>0.224</v>
      </c>
      <c r="AI26">
        <v>11.2</v>
      </c>
      <c r="AJ26">
        <v>0</v>
      </c>
      <c r="AK26">
        <v>14.954</v>
      </c>
      <c r="AL26">
        <v>0</v>
      </c>
      <c r="AM26">
        <v>55</v>
      </c>
      <c r="AN26">
        <v>0</v>
      </c>
      <c r="AO26">
        <v>0</v>
      </c>
      <c r="AP26">
        <v>0</v>
      </c>
      <c r="AQ26">
        <v>55</v>
      </c>
      <c r="AR26">
        <v>103.5642</v>
      </c>
      <c r="AS26">
        <v>0</v>
      </c>
      <c r="AT26">
        <v>145.64</v>
      </c>
      <c r="AU26" t="s">
        <v>148</v>
      </c>
      <c r="AV26" t="s">
        <v>149</v>
      </c>
      <c r="AW26" t="s">
        <v>150</v>
      </c>
      <c r="AX26" t="s">
        <v>151</v>
      </c>
      <c r="AY26">
        <v>55</v>
      </c>
    </row>
    <row r="27" spans="1:51">
      <c r="A27">
        <v>24</v>
      </c>
      <c r="B27" t="s">
        <v>180</v>
      </c>
      <c r="C27" t="s">
        <v>176</v>
      </c>
      <c r="D27" t="s">
        <v>17</v>
      </c>
      <c r="E27" t="s">
        <v>14</v>
      </c>
      <c r="G27" t="s">
        <v>145</v>
      </c>
      <c r="H27" t="s">
        <v>146</v>
      </c>
      <c r="L27" t="s">
        <v>147</v>
      </c>
      <c r="N27">
        <v>534</v>
      </c>
      <c r="O27">
        <v>0</v>
      </c>
      <c r="P27">
        <v>0</v>
      </c>
      <c r="Q27">
        <v>14</v>
      </c>
      <c r="T27">
        <v>0</v>
      </c>
      <c r="U27">
        <v>0</v>
      </c>
      <c r="V27">
        <v>26.7</v>
      </c>
      <c r="W27">
        <v>574.7</v>
      </c>
      <c r="X27">
        <v>574.7</v>
      </c>
      <c r="Y27">
        <v>0</v>
      </c>
      <c r="Z27">
        <v>15</v>
      </c>
      <c r="AA27">
        <v>10.63195</v>
      </c>
      <c r="AB27">
        <v>25.63195</v>
      </c>
      <c r="AC27">
        <v>4.61</v>
      </c>
      <c r="AD27">
        <v>0</v>
      </c>
      <c r="AE27">
        <v>0</v>
      </c>
      <c r="AF27">
        <v>0</v>
      </c>
      <c r="AG27">
        <v>0</v>
      </c>
      <c r="AH27">
        <v>0.534</v>
      </c>
      <c r="AI27">
        <v>26.7</v>
      </c>
      <c r="AJ27">
        <v>0</v>
      </c>
      <c r="AK27">
        <v>31.84399999999999</v>
      </c>
      <c r="AL27">
        <v>0</v>
      </c>
      <c r="AM27">
        <v>55</v>
      </c>
      <c r="AN27">
        <v>0</v>
      </c>
      <c r="AO27">
        <v>0</v>
      </c>
      <c r="AP27">
        <v>0</v>
      </c>
      <c r="AQ27">
        <v>55</v>
      </c>
      <c r="AR27">
        <v>126.47595</v>
      </c>
      <c r="AS27">
        <v>0</v>
      </c>
      <c r="AT27">
        <v>448.22</v>
      </c>
      <c r="AU27" t="s">
        <v>148</v>
      </c>
      <c r="AV27" t="s">
        <v>149</v>
      </c>
      <c r="AW27" t="s">
        <v>150</v>
      </c>
      <c r="AX27" t="s">
        <v>151</v>
      </c>
      <c r="AY27">
        <v>55</v>
      </c>
    </row>
    <row r="28" spans="1:51">
      <c r="A28">
        <v>25</v>
      </c>
      <c r="B28" t="s">
        <v>181</v>
      </c>
      <c r="C28" t="s">
        <v>176</v>
      </c>
      <c r="D28" t="s">
        <v>17</v>
      </c>
      <c r="E28" t="s">
        <v>14</v>
      </c>
      <c r="G28" t="s">
        <v>145</v>
      </c>
      <c r="H28" t="s">
        <v>146</v>
      </c>
      <c r="L28" t="s">
        <v>147</v>
      </c>
      <c r="N28">
        <v>497</v>
      </c>
      <c r="O28">
        <v>0</v>
      </c>
      <c r="P28">
        <v>0</v>
      </c>
      <c r="Q28">
        <v>14</v>
      </c>
      <c r="T28">
        <v>0</v>
      </c>
      <c r="U28">
        <v>0</v>
      </c>
      <c r="V28">
        <v>24.86</v>
      </c>
      <c r="W28">
        <v>535.86</v>
      </c>
      <c r="X28">
        <v>535.86</v>
      </c>
      <c r="Y28">
        <v>0</v>
      </c>
      <c r="Z28">
        <v>15</v>
      </c>
      <c r="AA28">
        <v>9.913410000000002</v>
      </c>
      <c r="AB28">
        <v>24.91341</v>
      </c>
      <c r="AC28">
        <v>4.48</v>
      </c>
      <c r="AD28">
        <v>0</v>
      </c>
      <c r="AE28">
        <v>0</v>
      </c>
      <c r="AF28">
        <v>0</v>
      </c>
      <c r="AG28">
        <v>0</v>
      </c>
      <c r="AH28">
        <v>0.497</v>
      </c>
      <c r="AI28">
        <v>24.86</v>
      </c>
      <c r="AJ28">
        <v>0</v>
      </c>
      <c r="AK28">
        <v>29.837</v>
      </c>
      <c r="AL28">
        <v>0</v>
      </c>
      <c r="AM28">
        <v>55</v>
      </c>
      <c r="AN28">
        <v>0</v>
      </c>
      <c r="AO28">
        <v>0</v>
      </c>
      <c r="AP28">
        <v>0</v>
      </c>
      <c r="AQ28">
        <v>55</v>
      </c>
      <c r="AR28">
        <v>123.75041</v>
      </c>
      <c r="AS28">
        <v>0</v>
      </c>
      <c r="AT28">
        <v>412.11</v>
      </c>
      <c r="AU28" t="s">
        <v>148</v>
      </c>
      <c r="AV28" t="s">
        <v>149</v>
      </c>
      <c r="AW28" t="s">
        <v>150</v>
      </c>
      <c r="AX28" t="s">
        <v>151</v>
      </c>
      <c r="AY28">
        <v>55</v>
      </c>
    </row>
  </sheetData>
  <mergeCells count="1">
    <mergeCell ref="A1:AZ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Z9"/>
  <sheetViews>
    <sheetView workbookViewId="0"/>
  </sheetViews>
  <sheetFormatPr defaultRowHeight="15"/>
  <cols>
    <col min="1" max="47" width="25.7109375" customWidth="1"/>
  </cols>
  <sheetData>
    <row r="1" spans="1:52">
      <c r="A1" s="1" t="s">
        <v>182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ht="126" customHeight="1">
      <c r="A2" s="18" t="s">
        <v>95</v>
      </c>
      <c r="B2" s="18" t="s">
        <v>37</v>
      </c>
      <c r="C2" s="18" t="s">
        <v>183</v>
      </c>
      <c r="D2" s="18" t="s">
        <v>184</v>
      </c>
      <c r="E2" s="18" t="s">
        <v>106</v>
      </c>
      <c r="F2" s="18" t="s">
        <v>185</v>
      </c>
      <c r="G2" s="18" t="s">
        <v>186</v>
      </c>
      <c r="H2" s="18" t="s">
        <v>187</v>
      </c>
      <c r="I2" s="18" t="s">
        <v>188</v>
      </c>
      <c r="J2" s="18" t="s">
        <v>189</v>
      </c>
      <c r="K2" s="18" t="s">
        <v>190</v>
      </c>
      <c r="L2" s="18" t="s">
        <v>191</v>
      </c>
      <c r="M2" s="18" t="s">
        <v>192</v>
      </c>
      <c r="N2" s="18" t="s">
        <v>193</v>
      </c>
      <c r="O2" s="18" t="s">
        <v>194</v>
      </c>
    </row>
    <row r="3" spans="1:52">
      <c r="A3" t="s">
        <v>144</v>
      </c>
      <c r="B3">
        <v>1</v>
      </c>
      <c r="C3">
        <v>276.9</v>
      </c>
      <c r="D3">
        <v>0</v>
      </c>
      <c r="E3">
        <v>238</v>
      </c>
      <c r="F3">
        <v>0</v>
      </c>
      <c r="G3">
        <v>11.9</v>
      </c>
      <c r="I3" t="s">
        <v>195</v>
      </c>
      <c r="J3">
        <v>0.238</v>
      </c>
      <c r="K3">
        <v>15</v>
      </c>
      <c r="L3">
        <v>2.7</v>
      </c>
      <c r="M3">
        <v>0</v>
      </c>
      <c r="N3">
        <v>55</v>
      </c>
      <c r="O3">
        <v>159.02</v>
      </c>
    </row>
    <row r="4" spans="1:52">
      <c r="A4" t="s">
        <v>153</v>
      </c>
      <c r="B4">
        <v>2</v>
      </c>
      <c r="C4">
        <v>388.16</v>
      </c>
      <c r="D4">
        <v>0</v>
      </c>
      <c r="E4">
        <v>343</v>
      </c>
      <c r="F4">
        <v>0</v>
      </c>
      <c r="G4">
        <v>17.16</v>
      </c>
      <c r="I4" t="s">
        <v>195</v>
      </c>
      <c r="J4">
        <v>0.343</v>
      </c>
      <c r="K4">
        <v>30</v>
      </c>
      <c r="L4">
        <v>5.4</v>
      </c>
      <c r="M4">
        <v>0</v>
      </c>
      <c r="N4">
        <v>110</v>
      </c>
      <c r="O4">
        <v>188.78</v>
      </c>
    </row>
    <row r="5" spans="1:52">
      <c r="A5" t="s">
        <v>156</v>
      </c>
      <c r="B5">
        <v>3</v>
      </c>
      <c r="C5">
        <v>1101.62</v>
      </c>
      <c r="D5">
        <v>0</v>
      </c>
      <c r="E5">
        <v>952</v>
      </c>
      <c r="F5">
        <v>0</v>
      </c>
      <c r="G5">
        <v>47.62</v>
      </c>
      <c r="I5" t="s">
        <v>195</v>
      </c>
      <c r="J5">
        <v>0.9520000000000001</v>
      </c>
      <c r="K5">
        <v>45</v>
      </c>
      <c r="L5">
        <v>8.100000000000001</v>
      </c>
      <c r="M5">
        <v>0</v>
      </c>
      <c r="N5">
        <v>165</v>
      </c>
      <c r="O5">
        <v>708.8900000000001</v>
      </c>
    </row>
    <row r="6" spans="1:52">
      <c r="A6" t="s">
        <v>160</v>
      </c>
      <c r="B6">
        <v>7</v>
      </c>
      <c r="C6">
        <v>2833.7</v>
      </c>
      <c r="D6">
        <v>0</v>
      </c>
      <c r="E6">
        <v>2472</v>
      </c>
      <c r="F6">
        <v>0</v>
      </c>
      <c r="G6">
        <v>123.7</v>
      </c>
      <c r="I6" t="s">
        <v>195</v>
      </c>
      <c r="J6">
        <v>2.472</v>
      </c>
      <c r="K6">
        <v>105</v>
      </c>
      <c r="L6">
        <v>18.9</v>
      </c>
      <c r="M6">
        <v>0</v>
      </c>
      <c r="N6">
        <v>385</v>
      </c>
      <c r="O6">
        <v>1898.77</v>
      </c>
    </row>
    <row r="7" spans="1:52">
      <c r="A7" t="s">
        <v>168</v>
      </c>
      <c r="B7">
        <v>2</v>
      </c>
      <c r="C7">
        <v>431.62</v>
      </c>
      <c r="D7">
        <v>0</v>
      </c>
      <c r="E7">
        <v>372</v>
      </c>
      <c r="F7">
        <v>0</v>
      </c>
      <c r="G7">
        <v>18.62</v>
      </c>
      <c r="I7" t="s">
        <v>195</v>
      </c>
      <c r="J7">
        <v>0.372</v>
      </c>
      <c r="K7">
        <v>30</v>
      </c>
      <c r="L7">
        <v>5.4</v>
      </c>
      <c r="M7">
        <v>0</v>
      </c>
      <c r="N7">
        <v>110</v>
      </c>
      <c r="O7">
        <v>216.81</v>
      </c>
    </row>
    <row r="8" spans="1:52">
      <c r="A8" t="s">
        <v>171</v>
      </c>
      <c r="B8">
        <v>4</v>
      </c>
      <c r="C8">
        <v>1146.86</v>
      </c>
      <c r="D8">
        <v>0</v>
      </c>
      <c r="E8">
        <v>1026.5</v>
      </c>
      <c r="F8">
        <v>0</v>
      </c>
      <c r="G8">
        <v>51.36000000000001</v>
      </c>
      <c r="I8" t="s">
        <v>195</v>
      </c>
      <c r="J8">
        <v>1.0265</v>
      </c>
      <c r="K8">
        <v>60</v>
      </c>
      <c r="L8">
        <v>10.8</v>
      </c>
      <c r="M8">
        <v>0</v>
      </c>
      <c r="N8">
        <v>220</v>
      </c>
      <c r="O8">
        <v>709.64</v>
      </c>
    </row>
    <row r="9" spans="1:52">
      <c r="A9" t="s">
        <v>176</v>
      </c>
      <c r="B9">
        <v>6</v>
      </c>
      <c r="C9">
        <v>1860.62</v>
      </c>
      <c r="D9">
        <v>0</v>
      </c>
      <c r="E9">
        <v>1692</v>
      </c>
      <c r="F9">
        <v>0</v>
      </c>
      <c r="G9">
        <v>84.62</v>
      </c>
      <c r="I9" t="s">
        <v>195</v>
      </c>
      <c r="J9">
        <v>1.692</v>
      </c>
      <c r="K9">
        <v>90</v>
      </c>
      <c r="L9">
        <v>16.2</v>
      </c>
      <c r="M9">
        <v>0</v>
      </c>
      <c r="N9">
        <v>330</v>
      </c>
      <c r="O9">
        <v>1213.5</v>
      </c>
    </row>
  </sheetData>
  <mergeCells count="1">
    <mergeCell ref="A1:AZ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7"/>
  <sheetViews>
    <sheetView workbookViewId="0"/>
  </sheetViews>
  <sheetFormatPr defaultRowHeight="15"/>
  <cols>
    <col min="1" max="1" width="15.7109375" customWidth="1"/>
    <col min="2" max="2" width="35.7109375" customWidth="1"/>
    <col min="3" max="3" width="60.7109375" customWidth="1"/>
  </cols>
  <sheetData>
    <row r="1" spans="1:3" s="1" customFormat="1" ht="20" customHeight="1">
      <c r="A1" s="1" t="s">
        <v>30</v>
      </c>
      <c r="B1" s="1"/>
      <c r="C1" s="1"/>
    </row>
    <row r="2" spans="1:3" s="19" customFormat="1" ht="25" customHeight="1">
      <c r="A2" s="19" t="s">
        <v>196</v>
      </c>
    </row>
    <row r="3" spans="1:3" s="13" customFormat="1" ht="30" customHeight="1">
      <c r="A3" s="13" t="s">
        <v>197</v>
      </c>
      <c r="B3" s="13" t="s">
        <v>198</v>
      </c>
      <c r="C3" s="13" t="s">
        <v>199</v>
      </c>
    </row>
    <row r="4" spans="1:3">
      <c r="A4">
        <v>1</v>
      </c>
      <c r="B4" t="s">
        <v>106</v>
      </c>
      <c r="C4" t="s">
        <v>200</v>
      </c>
    </row>
    <row r="5" spans="1:3">
      <c r="A5">
        <v>2</v>
      </c>
      <c r="B5" t="s">
        <v>107</v>
      </c>
      <c r="C5" t="s">
        <v>201</v>
      </c>
    </row>
    <row r="6" spans="1:3">
      <c r="A6">
        <v>3</v>
      </c>
      <c r="B6" t="s">
        <v>108</v>
      </c>
      <c r="C6" t="s">
        <v>202</v>
      </c>
    </row>
    <row r="7" spans="1:3">
      <c r="A7">
        <v>4</v>
      </c>
      <c r="B7" t="s">
        <v>203</v>
      </c>
      <c r="C7" t="s">
        <v>204</v>
      </c>
    </row>
    <row r="8" spans="1:3">
      <c r="A8">
        <v>5</v>
      </c>
      <c r="B8" t="s">
        <v>205</v>
      </c>
      <c r="C8" t="s">
        <v>206</v>
      </c>
    </row>
    <row r="9" spans="1:3">
      <c r="A9">
        <v>6</v>
      </c>
      <c r="B9" t="s">
        <v>111</v>
      </c>
      <c r="C9" t="s">
        <v>207</v>
      </c>
    </row>
    <row r="10" spans="1:3">
      <c r="A10">
        <v>7</v>
      </c>
      <c r="B10" t="s">
        <v>208</v>
      </c>
      <c r="C10" t="s">
        <v>209</v>
      </c>
    </row>
    <row r="11" spans="1:3">
      <c r="A11">
        <v>8</v>
      </c>
      <c r="B11" t="s">
        <v>210</v>
      </c>
      <c r="C11" t="s">
        <v>211</v>
      </c>
    </row>
    <row r="12" spans="1:3">
      <c r="A12">
        <v>9</v>
      </c>
      <c r="B12" t="s">
        <v>114</v>
      </c>
      <c r="C12" t="s">
        <v>212</v>
      </c>
    </row>
    <row r="13" spans="1:3">
      <c r="A13">
        <v>10</v>
      </c>
      <c r="B13" t="s">
        <v>213</v>
      </c>
      <c r="C13" t="s">
        <v>214</v>
      </c>
    </row>
    <row r="14" spans="1:3">
      <c r="A14">
        <v>11</v>
      </c>
      <c r="B14" t="s">
        <v>215</v>
      </c>
      <c r="C14" t="s">
        <v>216</v>
      </c>
    </row>
    <row r="15" spans="1:3">
      <c r="A15">
        <v>12</v>
      </c>
      <c r="B15" t="s">
        <v>187</v>
      </c>
      <c r="C15" t="s">
        <v>217</v>
      </c>
    </row>
    <row r="16" spans="1:3">
      <c r="A16">
        <v>13</v>
      </c>
      <c r="B16" t="s">
        <v>218</v>
      </c>
      <c r="C16" t="s">
        <v>219</v>
      </c>
    </row>
    <row r="17" spans="1:3">
      <c r="A17">
        <v>14</v>
      </c>
      <c r="B17" t="s">
        <v>220</v>
      </c>
      <c r="C17" t="s">
        <v>221</v>
      </c>
    </row>
    <row r="18" spans="1:3">
      <c r="A18">
        <v>15</v>
      </c>
      <c r="B18" t="s">
        <v>222</v>
      </c>
      <c r="C18" t="s">
        <v>223</v>
      </c>
    </row>
    <row r="19" spans="1:3">
      <c r="A19">
        <v>16</v>
      </c>
      <c r="B19" t="s">
        <v>224</v>
      </c>
      <c r="C19" t="s">
        <v>225</v>
      </c>
    </row>
    <row r="20" spans="1:3">
      <c r="A20">
        <v>17</v>
      </c>
      <c r="B20" t="s">
        <v>122</v>
      </c>
      <c r="C20" t="s">
        <v>226</v>
      </c>
    </row>
    <row r="21" spans="1:3">
      <c r="A21">
        <v>18</v>
      </c>
      <c r="B21" t="s">
        <v>123</v>
      </c>
      <c r="C21" t="s">
        <v>227</v>
      </c>
    </row>
    <row r="22" spans="1:3">
      <c r="A22">
        <v>19</v>
      </c>
      <c r="B22" t="s">
        <v>228</v>
      </c>
      <c r="C22" t="s">
        <v>229</v>
      </c>
    </row>
    <row r="23" spans="1:3">
      <c r="A23">
        <v>20</v>
      </c>
      <c r="B23" t="s">
        <v>125</v>
      </c>
      <c r="C23" t="s">
        <v>230</v>
      </c>
    </row>
    <row r="24" spans="1:3">
      <c r="A24">
        <v>21</v>
      </c>
      <c r="B24" t="s">
        <v>231</v>
      </c>
      <c r="C24" t="s">
        <v>232</v>
      </c>
    </row>
    <row r="25" spans="1:3">
      <c r="A25">
        <v>22</v>
      </c>
      <c r="B25" t="s">
        <v>50</v>
      </c>
      <c r="C25" t="s">
        <v>233</v>
      </c>
    </row>
    <row r="26" spans="1:3">
      <c r="A26">
        <v>23</v>
      </c>
      <c r="B26" t="s">
        <v>127</v>
      </c>
      <c r="C26" t="s">
        <v>234</v>
      </c>
    </row>
    <row r="27" spans="1:3">
      <c r="A27">
        <v>24</v>
      </c>
      <c r="B27" t="s">
        <v>235</v>
      </c>
      <c r="C27" t="s">
        <v>236</v>
      </c>
    </row>
    <row r="28" spans="1:3">
      <c r="A28">
        <v>25</v>
      </c>
      <c r="B28" t="s">
        <v>129</v>
      </c>
      <c r="C28" t="s">
        <v>237</v>
      </c>
    </row>
    <row r="29" spans="1:3">
      <c r="A29">
        <v>26</v>
      </c>
      <c r="B29" t="s">
        <v>238</v>
      </c>
      <c r="C29" t="s">
        <v>239</v>
      </c>
    </row>
    <row r="30" spans="1:3">
      <c r="A30">
        <v>27</v>
      </c>
      <c r="B30" t="s">
        <v>240</v>
      </c>
      <c r="C30" t="s">
        <v>241</v>
      </c>
    </row>
    <row r="31" spans="1:3">
      <c r="A31">
        <v>28</v>
      </c>
      <c r="B31" t="s">
        <v>131</v>
      </c>
      <c r="C31" t="s">
        <v>242</v>
      </c>
    </row>
    <row r="32" spans="1:3">
      <c r="A32">
        <v>29</v>
      </c>
      <c r="B32" t="s">
        <v>132</v>
      </c>
      <c r="C32" t="s">
        <v>243</v>
      </c>
    </row>
    <row r="33" spans="1:3">
      <c r="A33">
        <v>30</v>
      </c>
      <c r="B33" t="s">
        <v>244</v>
      </c>
      <c r="C33" t="s">
        <v>245</v>
      </c>
    </row>
    <row r="34" spans="1:3">
      <c r="A34">
        <v>31</v>
      </c>
      <c r="B34" t="s">
        <v>246</v>
      </c>
      <c r="C34" t="s">
        <v>247</v>
      </c>
    </row>
    <row r="35" spans="1:3">
      <c r="A35">
        <v>32</v>
      </c>
      <c r="B35" t="s">
        <v>248</v>
      </c>
      <c r="C35" t="s">
        <v>249</v>
      </c>
    </row>
    <row r="36" spans="1:3">
      <c r="A36">
        <v>33</v>
      </c>
      <c r="B36" t="s">
        <v>250</v>
      </c>
      <c r="C36" t="s">
        <v>251</v>
      </c>
    </row>
    <row r="37" spans="1:3">
      <c r="A37">
        <v>34</v>
      </c>
      <c r="B37" t="s">
        <v>252</v>
      </c>
      <c r="C37" t="s">
        <v>253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Payout Breakup</vt:lpstr>
      <vt:lpstr>Order Level</vt:lpstr>
      <vt:lpstr>Daywise Completed Breakup</vt:lpstr>
      <vt:lpstr>Glossary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2026-01-11T16:30:43Z</dcterms:created>
  <dcterms:modified xsi:type="dcterms:W3CDTF">2026-01-11T16:30:43Z</dcterms:modified>
</cp:coreProperties>
</file>